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Weekly Plan" sheetId="1" r:id="rId1"/>
    <sheet name="Training Log" sheetId="2" r:id="rId2"/>
    <sheet name="Body Progress" sheetId="3" r:id="rId3"/>
    <sheet name="How to Use" sheetId="4" r:id="rId4"/>
    <sheet name="Settings" sheetId="5" r:id="rId5"/>
  </sheets>
</workbook>
</file>

<file path=xl/sharedStrings.xml><?xml version="1.0" encoding="utf-8"?>
<sst xmlns="http://schemas.openxmlformats.org/spreadsheetml/2006/main" count="90" uniqueCount="90">
  <si>
    <t xml:space="preserve">Weekly Training Plan</t>
  </si>
  <si>
    <t>Day</t>
  </si>
  <si>
    <t>Session</t>
  </si>
  <si>
    <t xml:space="preserve">Exercise / Activity</t>
  </si>
  <si>
    <t>Sets</t>
  </si>
  <si>
    <t xml:space="preserve">Reps / Duration</t>
  </si>
  <si>
    <t>Notes</t>
  </si>
  <si>
    <t>Targets</t>
  </si>
  <si>
    <t>Goal</t>
  </si>
  <si>
    <t>Current</t>
  </si>
  <si>
    <t>Monday</t>
  </si>
  <si>
    <t xml:space="preserve">Home Strength A</t>
  </si>
  <si>
    <t>Pull-Ups</t>
  </si>
  <si>
    <t>5–10</t>
  </si>
  <si>
    <t xml:space="preserve">1–2 reps in reserve</t>
  </si>
  <si>
    <t>Protein</t>
  </si>
  <si>
    <t xml:space="preserve">110–130 g/day</t>
  </si>
  <si>
    <t xml:space="preserve">Bulgarian Split Squat</t>
  </si>
  <si>
    <t xml:space="preserve">8–15 / leg</t>
  </si>
  <si>
    <t xml:space="preserve">Calorie Deficit</t>
  </si>
  <si>
    <t xml:space="preserve">300–500 kcal/day</t>
  </si>
  <si>
    <t xml:space="preserve">Push-Up Variation</t>
  </si>
  <si>
    <t>8–20</t>
  </si>
  <si>
    <t xml:space="preserve">Weight Loss</t>
  </si>
  <si>
    <t xml:space="preserve">0.3–0.5 kg/week</t>
  </si>
  <si>
    <t xml:space="preserve">Suspension Hamstring Curl</t>
  </si>
  <si>
    <t>8–15</t>
  </si>
  <si>
    <t xml:space="preserve">Daily Steps</t>
  </si>
  <si>
    <t>7,000–10,000</t>
  </si>
  <si>
    <t xml:space="preserve">KB Overhead Press</t>
  </si>
  <si>
    <t xml:space="preserve">6–12 / side</t>
  </si>
  <si>
    <t>Sleep</t>
  </si>
  <si>
    <t xml:space="preserve">7.5–9 hours</t>
  </si>
  <si>
    <t xml:space="preserve">Hanging Knee Raise / Body Saw</t>
  </si>
  <si>
    <t>Rucking</t>
  </si>
  <si>
    <t xml:space="preserve">1–3 sessions/week</t>
  </si>
  <si>
    <t>Tuesday</t>
  </si>
  <si>
    <t xml:space="preserve">Rucking / Walking</t>
  </si>
  <si>
    <t xml:space="preserve">15–30 min</t>
  </si>
  <si>
    <t xml:space="preserve">10–12 kg</t>
  </si>
  <si>
    <t xml:space="preserve">Total Daily Steps</t>
  </si>
  <si>
    <t>Wednesday</t>
  </si>
  <si>
    <t>Recovery</t>
  </si>
  <si>
    <t xml:space="preserve">Easy Walking / Mobility</t>
  </si>
  <si>
    <t>Optional</t>
  </si>
  <si>
    <t>Thursday</t>
  </si>
  <si>
    <t xml:space="preserve">Home Strength B</t>
  </si>
  <si>
    <t xml:space="preserve">Suspension Row</t>
  </si>
  <si>
    <t xml:space="preserve">Single-Leg Romanian Deadlift</t>
  </si>
  <si>
    <t xml:space="preserve">Pike Push-Up</t>
  </si>
  <si>
    <t>6–15</t>
  </si>
  <si>
    <t xml:space="preserve">Reverse Lunge / Step-Up</t>
  </si>
  <si>
    <t xml:space="preserve">10–15 / leg</t>
  </si>
  <si>
    <t xml:space="preserve">Kettlebell Swing</t>
  </si>
  <si>
    <t>10–15</t>
  </si>
  <si>
    <t xml:space="preserve">Do not train to failure</t>
  </si>
  <si>
    <t xml:space="preserve">Suspension Face Pull / Reverse Fly</t>
  </si>
  <si>
    <t>12–20</t>
  </si>
  <si>
    <t>Friday</t>
  </si>
  <si>
    <t>Saturday</t>
  </si>
  <si>
    <t xml:space="preserve">Full-Body Gym</t>
  </si>
  <si>
    <t xml:space="preserve">Squat / Leg Press</t>
  </si>
  <si>
    <t>3–4</t>
  </si>
  <si>
    <t>5–8</t>
  </si>
  <si>
    <t xml:space="preserve">Bench Press / Chest Press / Dips</t>
  </si>
  <si>
    <t xml:space="preserve">Romanian Deadlift / Trap-Bar Deadlift</t>
  </si>
  <si>
    <t xml:space="preserve">Weighted Pull-Up / Heavy Row</t>
  </si>
  <si>
    <t>6–10</t>
  </si>
  <si>
    <t xml:space="preserve">Lateral Raise</t>
  </si>
  <si>
    <t>10–20</t>
  </si>
  <si>
    <t xml:space="preserve">Optional Curl + Triceps</t>
  </si>
  <si>
    <t>2–3</t>
  </si>
  <si>
    <t>Sunday</t>
  </si>
  <si>
    <t xml:space="preserve">Rest / Easy Walking / Easy Ruck</t>
  </si>
  <si>
    <t xml:space="preserve">Body &amp; Fat-Loss Progress</t>
  </si>
  <si>
    <t>Date</t>
  </si>
  <si>
    <t xml:space="preserve">Weight (kg)</t>
  </si>
  <si>
    <t xml:space="preserve">Waist (cm)</t>
  </si>
  <si>
    <t xml:space="preserve">Body Fat %</t>
  </si>
  <si>
    <t xml:space="preserve">Rucking (min)</t>
  </si>
  <si>
    <t>Calories</t>
  </si>
  <si>
    <t xml:space="preserve">Protein (g)</t>
  </si>
  <si>
    <t xml:space="preserve">Sleep (hours)</t>
  </si>
  <si>
    <t>Summary</t>
  </si>
  <si>
    <t>Value</t>
  </si>
  <si>
    <t xml:space="preserve">Latest Weight</t>
  </si>
  <si>
    <t xml:space="preserve">Starting Weight</t>
  </si>
  <si>
    <t xml:space="preserve">Weight Change</t>
  </si>
  <si>
    <t xml:space="preserve">Average Steps</t>
  </si>
  <si>
    <t xml:space="preserve">Average Protein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</si>
</sst>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yyyy-mm-dd"/>
    <numFmt numFmtId="165" formatCode="0.0"/>
    <numFmt numFmtId="200" formatCode="0%"/>
    <numFmt numFmtId="201" formatCode="[h]:mm:ss"/>
    <numFmt numFmtId="202" formatCode="0.00"/>
  </numFmts>
  <fonts count="7">
    <font>
      <sz val="11.000000"/>
      <name val="Carlito"/>
    </font>
    <font>
      <b/>
      <sz val="16.000000"/>
      <color indexed="65"/>
      <name val="Carlito"/>
    </font>
    <font>
      <b/>
      <sz val="11.000000"/>
      <color indexed="65"/>
      <name val="Carlito"/>
    </font>
    <font>
      <sz val="11.000000"/>
      <color rgb="FF334155"/>
      <name val="Carlito"/>
    </font>
    <font>
      <b/>
      <sz val="16.000000"/>
      <color indexed="65"/>
      <name val="Carlito"/>
    </font>
    <font>
      <b/>
      <sz val="11.000000"/>
      <color indexed="65"/>
      <name val="Carlito"/>
    </font>
    <font>
      <b/>
      <sz val="11.00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rgb="FF1F2937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43">
    <xf fontId="0" fillId="0" borderId="0" numFmtId="0" xfId="0"/>
    <xf fontId="1" fillId="2" borderId="0" numFmtId="0" xfId="0" applyFont="1" applyFill="1" applyAlignment="1">
      <alignment horizontal="left" vertical="center"/>
    </xf>
    <xf fontId="2" fillId="3" borderId="0" numFmtId="0" xfId="0" applyFont="1" applyFill="1" applyAlignment="1">
      <alignment horizontal="center" vertical="center" wrapText="1"/>
    </xf>
    <xf fontId="0" fillId="0" borderId="0" numFmtId="0" xfId="0" applyAlignment="1">
      <alignment wrapText="1"/>
    </xf>
    <xf fontId="3" fillId="4" borderId="0" numFmtId="0" xfId="0" applyFont="1" applyFill="1"/>
    <xf fontId="2" fillId="5" borderId="0" numFmtId="0" xfId="0" applyFont="1" applyFill="1" applyAlignment="1">
      <alignment horizontal="center" vertical="center" wrapText="1"/>
    </xf>
    <xf fontId="0" fillId="0" borderId="0" numFmtId="164" xfId="0" applyNumberFormat="1" applyAlignment="1">
      <alignment horizontal="left"/>
    </xf>
    <xf fontId="0" fillId="0" borderId="0" numFmtId="0" xfId="0" applyAlignment="1">
      <alignment horizontal="left"/>
    </xf>
    <xf fontId="0" fillId="0" borderId="0" numFmtId="0" xfId="0" applyAlignment="1">
      <alignment horizontal="left" wrapText="1"/>
    </xf>
    <xf fontId="0" fillId="0" borderId="0" numFmtId="165" xfId="0" applyNumberFormat="1" applyAlignment="1">
      <alignment horizontal="left"/>
    </xf>
    <xf fontId="0" fillId="0" borderId="0" numFmtId="0" xfId="0" applyAlignment="1">
      <alignment horizontal="left"/>
    </xf>
    <xf fontId="0" fillId="0" borderId="0" numFmtId="0" xfId="0" applyAlignment="1">
      <alignment horizontal="left"/>
    </xf>
    <xf fontId="0" fillId="0" borderId="0" numFmtId="0" xfId="0" applyAlignment="1">
      <alignment horizontal="left" wrapText="1"/>
    </xf>
    <xf fontId="0" fillId="0" borderId="0" numFmtId="164" xfId="0" applyNumberFormat="1"/>
    <xf fontId="0" fillId="0" borderId="0" numFmtId="165" xfId="0" applyNumberFormat="1"/>
    <xf fontId="0" fillId="0" borderId="0" numFmtId="1" xfId="0" applyNumberFormat="1"/>
    <xf fontId="3" fillId="4" borderId="0" numFmtId="165" xfId="0" applyNumberFormat="1" applyFont="1" applyFill="1"/>
    <xf fontId="3" fillId="4" borderId="0" numFmtId="1" xfId="0" applyNumberFormat="1" applyFont="1" applyFill="1"/>
    <xf fontId="0" fillId="0" borderId="0" numFmtId="0" xfId="0" applyNumberFormat="1" applyFont="1" applyFill="1" applyBorder="1"/>
    <xf fontId="1" fillId="2" borderId="0" numFmtId="0" xfId="0" applyNumberFormat="1" applyFont="1" applyFill="1" applyBorder="1" applyAlignment="1">
      <alignment horizontal="left" vertical="center"/>
    </xf>
    <xf fontId="2" fillId="3" borderId="0" numFmtId="0" xfId="0" applyNumberFormat="1" applyFont="1" applyFill="1" applyBorder="1" applyAlignment="1">
      <alignment horizontal="center" vertical="center" wrapText="1"/>
    </xf>
    <xf fontId="0" fillId="0" borderId="0" numFmtId="0" xfId="0" applyNumberFormat="1" applyFont="1" applyFill="1" applyBorder="1" applyAlignment="1">
      <alignment wrapText="1"/>
    </xf>
    <xf fontId="3" fillId="4" borderId="0" numFmtId="0" xfId="0" applyNumberFormat="1" applyFont="1" applyFill="1" applyBorder="1"/>
    <xf fontId="0" fillId="0" borderId="0" numFmtId="164" xfId="0" applyNumberFormat="1" applyFont="1" applyFill="1" applyBorder="1" applyAlignment="1">
      <alignment horizontal="left"/>
    </xf>
    <xf fontId="0" fillId="0" borderId="0" numFmtId="0" xfId="0" applyNumberFormat="1" applyFont="1" applyFill="1" applyBorder="1" applyAlignment="1">
      <alignment horizontal="left"/>
    </xf>
    <xf fontId="0" fillId="0" borderId="0" numFmtId="0" xfId="0" applyNumberFormat="1" applyFont="1" applyFill="1" applyBorder="1" applyAlignment="1">
      <alignment horizontal="left" wrapText="1"/>
    </xf>
    <xf fontId="0" fillId="0" borderId="0" numFmtId="165" xfId="0" applyNumberFormat="1" applyFont="1" applyFill="1" applyBorder="1" applyAlignment="1">
      <alignment horizontal="left"/>
    </xf>
    <xf fontId="0" fillId="0" borderId="0" numFmtId="164" xfId="0" applyNumberFormat="1" applyFont="1" applyFill="1" applyBorder="1"/>
    <xf fontId="0" fillId="0" borderId="0" numFmtId="165" xfId="0" applyNumberFormat="1" applyFont="1" applyFill="1" applyBorder="1"/>
    <xf fontId="0" fillId="0" borderId="0" numFmtId="1" xfId="0" applyNumberFormat="1" applyFont="1" applyFill="1" applyBorder="1"/>
    <xf fontId="3" fillId="4" borderId="0" numFmtId="165" xfId="0" applyNumberFormat="1" applyFont="1" applyFill="1" applyBorder="1"/>
    <xf fontId="3" fillId="4" borderId="0" numFmtId="1" xfId="0" applyNumberFormat="1" applyFont="1" applyFill="1" applyBorder="1"/>
    <xf fontId="1" fillId="6" borderId="0" numFmtId="0" xfId="0" applyNumberFormat="1" applyFont="1" applyFill="1" applyBorder="1" applyAlignment="1">
      <alignment horizontal="left" vertical="center"/>
    </xf>
    <xf fontId="4" fillId="6" borderId="0" numFmtId="0" xfId="0" applyNumberFormat="1" applyFont="1" applyFill="1" applyBorder="1" applyAlignment="1">
      <alignment horizontal="left" vertical="center"/>
    </xf>
    <xf fontId="2" fillId="7" borderId="0" numFmtId="0" xfId="0" applyNumberFormat="1" applyFont="1" applyFill="1" applyBorder="1" applyAlignment="1">
      <alignment horizontal="center" vertical="center" wrapText="1"/>
    </xf>
    <xf fontId="5" fillId="7" borderId="0" numFmtId="0" xfId="0" applyNumberFormat="1" applyFont="1" applyFill="1" applyBorder="1" applyAlignment="1">
      <alignment horizontal="center" vertical="center" wrapText="1"/>
    </xf>
    <xf fontId="0" fillId="6" borderId="0" numFmtId="0" xfId="0" applyNumberFormat="1" applyFont="1" applyFill="1" applyBorder="1"/>
    <xf fontId="4" fillId="6" borderId="0" numFmtId="0" xfId="0" applyNumberFormat="1" applyFont="1" applyFill="1" applyBorder="1"/>
    <xf fontId="0" fillId="8" borderId="0" numFmtId="0" xfId="0" applyNumberFormat="1" applyFont="1" applyFill="1" applyBorder="1"/>
    <xf fontId="6" fillId="8" borderId="0" numFmtId="0" xfId="0" applyNumberFormat="1" applyFont="1" applyFill="1" applyBorder="1"/>
    <xf fontId="0" fillId="0" borderId="0" numFmtId="200" xfId="0" applyNumberFormat="1" applyFont="1" applyFill="1" applyBorder="1"/>
    <xf fontId="0" fillId="0" borderId="0" numFmtId="201" xfId="0" applyNumberFormat="1" applyFont="1" applyFill="1" applyBorder="1" applyAlignment="1">
      <alignment horizontal="left"/>
    </xf>
    <xf fontId="0" fillId="0" borderId="0" numFmtId="202" xfId="0" applyNumberFormat="1" applyFont="1" applyFill="1" applyBorder="1" applyAlignment="1">
      <alignment horizontal="left"/>
    </xf>
  </cellXfs>
  <cellStyles count="2">
    <cellStyle name="Normal" xfId="1"/>
    <cellStyle name="Normal" xf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/>
              <a:t>Weight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Weight (kg)</c:v>
          </c:tx>
          <c:cat>
            <c:strRef>
              <c:f>'Body Progress'!$A$4:$A$30</c:f>
              <c:strCache>
                <c:ptCount val="0"/>
              </c:strCache>
            </c:strRef>
          </c:cat>
          <c:val>
            <c:numRef>
              <c:f>'Body Progress'!$B$4:$B$30</c:f>
              <c:numCache>
                <c:formatCode>0.0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11</xdr:col>
      <xdr:colOff>0</xdr:colOff>
      <xdr:row>9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1" name="Chart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" displayName="TrainingLogTable" ref="A3:O504" headerRowCount="0">
  <tableColumns count="15">
    <tableColumn id="1" name="Date" totalsRowLabel="Summary"/>
    <tableColumn id="2" name="Week"/>
    <tableColumn id="3" name="Session"/>
    <tableColumn id="4" name="Exercise"/>
    <tableColumn id="5" name="Set"/>
    <tableColumn id="6" name="Weight (kg)"/>
    <tableColumn id="7" name="Reps"/>
    <tableColumn id="8" name="Duration (min)"/>
    <tableColumn id="9" name="Distance (km)"/>
    <tableColumn id="10" name="Steps"/>
    <tableColumn id="11" name="RPE"/>
    <tableColumn id="12" name="Volume"/>
    <tableColumn id="13" name="Body Weight (kg)"/>
    <tableColumn id="14" name="Status"/>
    <tableColumn id="15" name="Notes" totalsRowFunction="c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" displayName="BodyProgressTable" ref="A3:J203" headerRowCount="1">
  <tableColumns count="10">
    <tableColumn id="1" name="Date"/>
    <tableColumn id="2" name="Weight (kg)"/>
    <tableColumn id="3" name="Waist (cm)"/>
    <tableColumn id="4" name="Body Fat %"/>
    <tableColumn id="5" name="Daily Steps"/>
    <tableColumn id="6" name="Rucking (min)"/>
    <tableColumn id="7" name="Calories"/>
    <tableColumn id="8" name="Protein (g)"/>
    <tableColumn id="9" name="Sleep (hours)"/>
    <tableColumn id="10" name="Note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4.25"/>
  <cols>
    <col customWidth="1" min="1" max="1" width="13"/>
    <col customWidth="1" min="2" max="2" width="20"/>
    <col customWidth="1" min="3" max="3" width="34"/>
    <col customWidth="1" min="4" max="4" width="10"/>
    <col customWidth="1" min="5" max="5" width="16"/>
    <col customWidth="1" min="6" max="6" width="24"/>
    <col customWidth="1" min="8" max="8" width="18"/>
    <col customWidth="1" min="9" max="9" width="22"/>
    <col customWidth="1" min="10" max="10" width="14"/>
  </cols>
  <sheetData>
    <row r="1" ht="28" customHeight="1">
      <c r="A1" s="1" t="s">
        <v>0</v>
      </c>
      <c r="B1" s="1"/>
      <c r="C1" s="1"/>
      <c r="D1" s="1"/>
      <c r="E1" s="1"/>
      <c r="F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H3" s="2" t="s">
        <v>7</v>
      </c>
      <c r="I3" s="2" t="s">
        <v>8</v>
      </c>
      <c r="J3" s="2" t="s">
        <v>9</v>
      </c>
    </row>
    <row r="4">
      <c r="A4" s="3" t="s">
        <v>10</v>
      </c>
      <c r="B4" s="3" t="s">
        <v>11</v>
      </c>
      <c r="C4" s="3" t="s">
        <v>12</v>
      </c>
      <c r="D4" s="3">
        <v>4</v>
      </c>
      <c r="E4" s="3" t="s">
        <v>13</v>
      </c>
      <c r="F4" s="3" t="s">
        <v>14</v>
      </c>
      <c r="H4" s="4" t="s">
        <v>15</v>
      </c>
      <c r="I4" s="4" t="s">
        <v>16</v>
      </c>
    </row>
    <row r="5">
      <c r="A5" s="3" t="s">
        <v>10</v>
      </c>
      <c r="B5" s="3" t="s">
        <v>11</v>
      </c>
      <c r="C5" s="3" t="s">
        <v>17</v>
      </c>
      <c r="D5" s="3">
        <v>4</v>
      </c>
      <c r="E5" s="3" t="s">
        <v>18</v>
      </c>
      <c r="F5" s="3"/>
      <c r="H5" s="4" t="s">
        <v>19</v>
      </c>
      <c r="I5" s="4" t="s">
        <v>20</v>
      </c>
    </row>
    <row r="6">
      <c r="A6" s="3" t="s">
        <v>10</v>
      </c>
      <c r="B6" s="3" t="s">
        <v>11</v>
      </c>
      <c r="C6" s="3" t="s">
        <v>21</v>
      </c>
      <c r="D6" s="3">
        <v>4</v>
      </c>
      <c r="E6" s="3" t="s">
        <v>22</v>
      </c>
      <c r="F6" s="3"/>
      <c r="H6" s="4" t="s">
        <v>23</v>
      </c>
      <c r="I6" s="4" t="s">
        <v>24</v>
      </c>
    </row>
    <row r="7">
      <c r="A7" s="3" t="s">
        <v>10</v>
      </c>
      <c r="B7" s="3" t="s">
        <v>11</v>
      </c>
      <c r="C7" s="3" t="s">
        <v>25</v>
      </c>
      <c r="D7" s="3">
        <v>3</v>
      </c>
      <c r="E7" s="3" t="s">
        <v>26</v>
      </c>
      <c r="F7" s="3"/>
      <c r="H7" s="4" t="s">
        <v>27</v>
      </c>
      <c r="I7" s="4" t="s">
        <v>28</v>
      </c>
    </row>
    <row r="8">
      <c r="A8" s="3" t="s">
        <v>10</v>
      </c>
      <c r="B8" s="3" t="s">
        <v>11</v>
      </c>
      <c r="C8" s="3" t="s">
        <v>29</v>
      </c>
      <c r="D8" s="3">
        <v>3</v>
      </c>
      <c r="E8" s="3" t="s">
        <v>30</v>
      </c>
      <c r="F8" s="3"/>
      <c r="H8" s="4" t="s">
        <v>31</v>
      </c>
      <c r="I8" s="4" t="s">
        <v>32</v>
      </c>
    </row>
    <row r="9">
      <c r="A9" s="3" t="s">
        <v>10</v>
      </c>
      <c r="B9" s="3" t="s">
        <v>11</v>
      </c>
      <c r="C9" s="3" t="s">
        <v>33</v>
      </c>
      <c r="D9" s="3">
        <v>3</v>
      </c>
      <c r="E9" s="3" t="s">
        <v>26</v>
      </c>
      <c r="F9" s="3"/>
      <c r="H9" s="4" t="s">
        <v>34</v>
      </c>
      <c r="I9" s="4" t="s">
        <v>35</v>
      </c>
    </row>
    <row r="10">
      <c r="A10" s="3" t="s">
        <v>36</v>
      </c>
      <c r="B10" s="3" t="s">
        <v>37</v>
      </c>
      <c r="C10" s="3" t="s">
        <v>34</v>
      </c>
      <c r="D10" s="3"/>
      <c r="E10" s="3" t="s">
        <v>38</v>
      </c>
      <c r="F10" s="3" t="s">
        <v>39</v>
      </c>
    </row>
    <row r="11">
      <c r="A11" s="3" t="s">
        <v>36</v>
      </c>
      <c r="B11" s="3" t="s">
        <v>37</v>
      </c>
      <c r="C11" s="3" t="s">
        <v>40</v>
      </c>
      <c r="D11" s="3"/>
      <c r="E11" s="3" t="s">
        <v>28</v>
      </c>
      <c r="F11" s="3"/>
    </row>
    <row r="12">
      <c r="A12" s="3" t="s">
        <v>41</v>
      </c>
      <c r="B12" s="3" t="s">
        <v>42</v>
      </c>
      <c r="C12" s="3" t="s">
        <v>43</v>
      </c>
      <c r="D12" s="3"/>
      <c r="E12" s="3" t="s">
        <v>44</v>
      </c>
      <c r="F12" s="3"/>
    </row>
    <row r="13">
      <c r="A13" s="3" t="s">
        <v>45</v>
      </c>
      <c r="B13" s="3" t="s">
        <v>46</v>
      </c>
      <c r="C13" s="3" t="s">
        <v>47</v>
      </c>
      <c r="D13" s="3">
        <v>4</v>
      </c>
      <c r="E13" s="3" t="s">
        <v>26</v>
      </c>
      <c r="F13" s="3"/>
    </row>
    <row r="14">
      <c r="A14" s="3" t="s">
        <v>45</v>
      </c>
      <c r="B14" s="3" t="s">
        <v>46</v>
      </c>
      <c r="C14" s="3" t="s">
        <v>48</v>
      </c>
      <c r="D14" s="3">
        <v>4</v>
      </c>
      <c r="E14" s="3" t="s">
        <v>18</v>
      </c>
      <c r="F14" s="3"/>
    </row>
    <row r="15">
      <c r="A15" s="3" t="s">
        <v>45</v>
      </c>
      <c r="B15" s="3" t="s">
        <v>46</v>
      </c>
      <c r="C15" s="3" t="s">
        <v>49</v>
      </c>
      <c r="D15" s="3">
        <v>4</v>
      </c>
      <c r="E15" s="3" t="s">
        <v>50</v>
      </c>
      <c r="F15" s="3"/>
    </row>
    <row r="16">
      <c r="A16" s="3" t="s">
        <v>45</v>
      </c>
      <c r="B16" s="3" t="s">
        <v>46</v>
      </c>
      <c r="C16" s="3" t="s">
        <v>51</v>
      </c>
      <c r="D16" s="3">
        <v>3</v>
      </c>
      <c r="E16" s="3" t="s">
        <v>52</v>
      </c>
      <c r="F16" s="3"/>
    </row>
    <row r="17">
      <c r="A17" s="3" t="s">
        <v>45</v>
      </c>
      <c r="B17" s="3" t="s">
        <v>46</v>
      </c>
      <c r="C17" s="3" t="s">
        <v>53</v>
      </c>
      <c r="D17" s="3" t="s">
        <v>13</v>
      </c>
      <c r="E17" s="3" t="s">
        <v>54</v>
      </c>
      <c r="F17" s="3" t="s">
        <v>55</v>
      </c>
    </row>
    <row r="18">
      <c r="A18" s="3" t="s">
        <v>45</v>
      </c>
      <c r="B18" s="3" t="s">
        <v>46</v>
      </c>
      <c r="C18" s="3" t="s">
        <v>56</v>
      </c>
      <c r="D18" s="3">
        <v>3</v>
      </c>
      <c r="E18" s="3" t="s">
        <v>57</v>
      </c>
      <c r="F18" s="3"/>
    </row>
    <row r="19">
      <c r="A19" s="3" t="s">
        <v>58</v>
      </c>
      <c r="B19" s="3" t="s">
        <v>42</v>
      </c>
      <c r="C19" s="3" t="s">
        <v>43</v>
      </c>
      <c r="D19" s="3"/>
      <c r="E19" s="3" t="s">
        <v>44</v>
      </c>
      <c r="F19" s="3"/>
    </row>
    <row r="20">
      <c r="A20" s="3" t="s">
        <v>59</v>
      </c>
      <c r="B20" s="3" t="s">
        <v>60</v>
      </c>
      <c r="C20" s="3" t="s">
        <v>61</v>
      </c>
      <c r="D20" s="3" t="s">
        <v>62</v>
      </c>
      <c r="E20" s="3" t="s">
        <v>63</v>
      </c>
      <c r="F20" s="3"/>
    </row>
    <row r="21">
      <c r="A21" s="3" t="s">
        <v>59</v>
      </c>
      <c r="B21" s="3" t="s">
        <v>60</v>
      </c>
      <c r="C21" s="3" t="s">
        <v>64</v>
      </c>
      <c r="D21" s="3" t="s">
        <v>62</v>
      </c>
      <c r="E21" s="3" t="s">
        <v>13</v>
      </c>
      <c r="F21" s="3"/>
    </row>
    <row r="22">
      <c r="A22" s="3" t="s">
        <v>59</v>
      </c>
      <c r="B22" s="3" t="s">
        <v>60</v>
      </c>
      <c r="C22" s="3" t="s">
        <v>65</v>
      </c>
      <c r="D22" s="3">
        <v>3</v>
      </c>
      <c r="E22" s="3" t="s">
        <v>13</v>
      </c>
      <c r="F22" s="3"/>
    </row>
    <row r="23">
      <c r="A23" s="3" t="s">
        <v>59</v>
      </c>
      <c r="B23" s="3" t="s">
        <v>60</v>
      </c>
      <c r="C23" s="3" t="s">
        <v>66</v>
      </c>
      <c r="D23" s="3" t="s">
        <v>62</v>
      </c>
      <c r="E23" s="3" t="s">
        <v>67</v>
      </c>
      <c r="F23" s="3"/>
    </row>
    <row r="24">
      <c r="A24" s="3" t="s">
        <v>59</v>
      </c>
      <c r="B24" s="3" t="s">
        <v>60</v>
      </c>
      <c r="C24" s="3" t="s">
        <v>68</v>
      </c>
      <c r="D24" s="3">
        <v>3</v>
      </c>
      <c r="E24" s="3" t="s">
        <v>69</v>
      </c>
      <c r="F24" s="3"/>
    </row>
    <row r="25">
      <c r="A25" s="3" t="s">
        <v>59</v>
      </c>
      <c r="B25" s="3" t="s">
        <v>60</v>
      </c>
      <c r="C25" s="3" t="s">
        <v>70</v>
      </c>
      <c r="D25" s="3" t="s">
        <v>71</v>
      </c>
      <c r="E25" s="3" t="s">
        <v>26</v>
      </c>
      <c r="F25" s="3"/>
    </row>
    <row r="26">
      <c r="A26" s="3" t="s">
        <v>72</v>
      </c>
      <c r="B26" s="3" t="s">
        <v>42</v>
      </c>
      <c r="C26" s="3" t="s">
        <v>73</v>
      </c>
      <c r="D26" s="3"/>
      <c r="E26" s="3" t="s">
        <v>38</v>
      </c>
      <c r="F26" s="3" t="s">
        <v>44</v>
      </c>
    </row>
  </sheetData>
  <mergeCells count="1">
    <mergeCell ref="A1:F1"/>
  </mergeCells>
  <pageMargins left="0.69999999999999996" right="0.69999999999999996" top="0.75" bottom="0.75" header="0.29999999999999999" footer="0.2999999999999999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4.25"/>
  <cols>
    <col customWidth="1" hidden="0" min="1" max="1" width="12"/>
    <col customWidth="1" hidden="0" min="2" max="2" width="13"/>
    <col customWidth="1" hidden="0" min="3" max="3" width="14"/>
    <col customWidth="1" hidden="0" min="4" max="4" width="22"/>
    <col customWidth="1" hidden="0" min="5" max="5" width="28"/>
    <col customWidth="1" hidden="0" min="6" max="6" width="8"/>
    <col customWidth="1" hidden="0" min="7" max="7" width="12"/>
    <col customWidth="1" hidden="0" min="8" max="8" width="9"/>
    <col customWidth="1" hidden="0" min="9" max="9" width="13"/>
    <col customWidth="1" hidden="0" min="10" max="10" width="13"/>
    <col customWidth="1" hidden="0" min="11" max="11" width="8"/>
    <col customWidth="1" hidden="0" min="12" max="12" width="12"/>
    <col customWidth="1" hidden="0" min="13" max="13" width="15"/>
    <col customWidth="1" hidden="0" min="14" max="14" width="38"/>
    <col customWidth="1" min="15" max="15" width="33.421875"/>
  </cols>
  <sheetData>
    <row r="1" ht="28" customHeight="1">
      <c r="A1" s="33" t="inlineStr">
        <v xml:space="preserve">Training Log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1"/>
    </row>
    <row r="3" ht="28.5">
      <c r="A3" s="35" t="inlineStr">
        <v>Date</v>
      </c>
      <c r="B3" s="35" t="inlineStr">
        <v xml:space="preserve">Program Week</v>
      </c>
      <c r="C3" s="35" t="inlineStr">
        <v>Category</v>
      </c>
      <c r="D3" s="35" t="inlineStr">
        <v xml:space="preserve">Workout Name</v>
      </c>
      <c r="E3" s="35" t="inlineStr">
        <v>Exercise</v>
      </c>
      <c r="F3" s="35" t="inlineStr">
        <v xml:space="preserve">Set #</v>
      </c>
      <c r="G3" s="35" t="inlineStr">
        <v xml:space="preserve">Weight (kg)</v>
      </c>
      <c r="H3" s="35" t="inlineStr">
        <v>Reps</v>
      </c>
      <c r="I3" s="35" t="inlineStr">
        <v xml:space="preserve">Distance (km)</v>
      </c>
      <c r="J3" s="35" t="inlineStr">
        <v>Duration</v>
      </c>
      <c r="K3" s="35" t="inlineStr">
        <v>RPE</v>
      </c>
      <c r="L3" s="35" t="inlineStr">
        <v xml:space="preserve">Set Volume</v>
      </c>
      <c r="M3" s="35" t="inlineStr">
        <v xml:space="preserve">Body Weight (kg)</v>
      </c>
      <c r="N3" s="35" t="inlineStr">
        <v>Notes</v>
      </c>
      <c r="O3" s="5"/>
    </row>
    <row r="4">
      <c r="A4" s="23">
        <v>46219</v>
      </c>
      <c r="B4" s="7">
        <f>IF(A4="","",INT((A4-Settings!$B$4)/7)+1)</f>
        <v>1</v>
      </c>
      <c r="C4" s="7" t="inlineStr">
        <v>Strength</v>
      </c>
      <c r="D4" s="8" t="inlineStr">
        <v xml:space="preserve">Home Strength B</v>
      </c>
      <c r="E4" s="7" t="inlineStr">
        <v xml:space="preserve">Suspension Row</v>
      </c>
      <c r="F4" s="9">
        <v>1</v>
      </c>
      <c r="G4" s="26"/>
      <c r="H4" s="9">
        <v>12</v>
      </c>
      <c r="I4" s="42"/>
      <c r="J4" s="41"/>
      <c r="K4" s="26">
        <v>8</v>
      </c>
      <c r="L4" s="26">
        <f>IF(OR(G4="",H4=""),"",G4*H4)</f>
      </c>
      <c r="M4" s="26">
        <v>62</v>
      </c>
      <c r="N4" s="25"/>
      <c r="O4" s="8"/>
    </row>
    <row r="5">
      <c r="A5" s="23">
        <v>46219</v>
      </c>
      <c r="B5" s="10">
        <f>IF(A5="","",INT((A5-Settings!$B$4)/7)+1)</f>
        <v>1</v>
      </c>
      <c r="C5" s="10" t="inlineStr">
        <v>Strength</v>
      </c>
      <c r="D5" s="8" t="inlineStr">
        <v xml:space="preserve">Home Strength B</v>
      </c>
      <c r="E5" s="7" t="inlineStr">
        <v xml:space="preserve">Suspension Row</v>
      </c>
      <c r="F5" s="9">
        <v>2</v>
      </c>
      <c r="G5" s="26"/>
      <c r="H5" s="9">
        <v>12</v>
      </c>
      <c r="I5" s="42"/>
      <c r="J5" s="41"/>
      <c r="K5" s="26">
        <v>8</v>
      </c>
      <c r="L5" s="26">
        <f>IF(OR(G5="",H5=""),"",G5*H5)</f>
      </c>
      <c r="M5" s="26">
        <v>62</v>
      </c>
      <c r="N5" s="25"/>
      <c r="O5" s="8"/>
    </row>
    <row r="6">
      <c r="A6" s="23">
        <v>46219</v>
      </c>
      <c r="B6" s="10">
        <f>IF(A6="","",INT((A6-Settings!$B$4)/7)+1)</f>
        <v>1</v>
      </c>
      <c r="C6" s="7" t="inlineStr">
        <v>Strength</v>
      </c>
      <c r="D6" s="8" t="inlineStr">
        <v xml:space="preserve">Home Strength B</v>
      </c>
      <c r="E6" s="7" t="inlineStr">
        <v xml:space="preserve">Suspension Row</v>
      </c>
      <c r="F6" s="9">
        <v>3</v>
      </c>
      <c r="G6" s="26"/>
      <c r="H6" s="9">
        <v>12</v>
      </c>
      <c r="I6" s="42"/>
      <c r="J6" s="41"/>
      <c r="K6" s="26">
        <v>8</v>
      </c>
      <c r="L6" s="26">
        <f>IF(OR(G6="",H6=""),"",G6*H6)</f>
      </c>
      <c r="M6" s="26">
        <v>62</v>
      </c>
      <c r="N6" s="25"/>
      <c r="O6" s="8"/>
    </row>
    <row r="7">
      <c r="A7" s="23">
        <v>46219</v>
      </c>
      <c r="B7" s="10">
        <f>IF(A7="","",INT((A7-Settings!$B$4)/7)+1)</f>
        <v>1</v>
      </c>
      <c r="C7" s="7" t="inlineStr">
        <v>Strength</v>
      </c>
      <c r="D7" s="7" t="inlineStr">
        <v xml:space="preserve">Home Strength B</v>
      </c>
      <c r="E7" s="7" t="inlineStr">
        <v xml:space="preserve">Suspension Row</v>
      </c>
      <c r="F7" s="9">
        <v>4</v>
      </c>
      <c r="G7" s="26"/>
      <c r="H7" s="9">
        <v>12</v>
      </c>
      <c r="I7" s="42"/>
      <c r="J7" s="41"/>
      <c r="K7" s="26">
        <v>8</v>
      </c>
      <c r="L7" s="26">
        <f>IF(OR(G7="",H7=""),"",G7*H7)</f>
      </c>
      <c r="M7" s="26">
        <v>62</v>
      </c>
      <c r="N7" s="25"/>
      <c r="O7" s="8"/>
    </row>
    <row r="8">
      <c r="A8" s="23">
        <v>46219</v>
      </c>
      <c r="B8" s="10">
        <f>IF(A8="","",INT((A8-Settings!$B$4)/7)+1)</f>
        <v>1</v>
      </c>
      <c r="C8" s="10" t="inlineStr">
        <v>Conditioning</v>
      </c>
      <c r="D8" s="8" t="inlineStr">
        <v xml:space="preserve">Fasted Kettlebell Swings</v>
      </c>
      <c r="E8" s="7" t="inlineStr">
        <v xml:space="preserve">Kettlebell Swing</v>
      </c>
      <c r="F8" s="9">
        <v>1</v>
      </c>
      <c r="G8" s="26">
        <v>12</v>
      </c>
      <c r="H8" s="9">
        <v>25</v>
      </c>
      <c r="I8" s="42"/>
      <c r="J8" s="41"/>
      <c r="K8" s="26">
        <v>7</v>
      </c>
      <c r="L8" s="26">
        <f>IF(OR(G8="",H8=""),"",G8*H8)</f>
        <v>300</v>
      </c>
      <c r="M8" s="26">
        <v>62</v>
      </c>
      <c r="N8" s="25" t="inlineStr">
        <v xml:space="preserve">Done while fasted for 20+ hours</v>
      </c>
      <c r="O8" s="8"/>
    </row>
    <row r="9">
      <c r="A9" s="23">
        <v>46219</v>
      </c>
      <c r="B9" s="10">
        <f>IF(A9="","",INT((A9-Settings!$B$4)/7)+1)</f>
        <v>1</v>
      </c>
      <c r="C9" s="7" t="inlineStr">
        <v>Conditioning</v>
      </c>
      <c r="D9" s="8" t="inlineStr">
        <v xml:space="preserve">Fasted Kettlebell Swings</v>
      </c>
      <c r="E9" s="7" t="inlineStr">
        <v xml:space="preserve">Kettlebell Swing</v>
      </c>
      <c r="F9" s="9">
        <v>2</v>
      </c>
      <c r="G9" s="26">
        <v>12</v>
      </c>
      <c r="H9" s="9">
        <v>25</v>
      </c>
      <c r="I9" s="42"/>
      <c r="J9" s="41"/>
      <c r="K9" s="26">
        <v>7</v>
      </c>
      <c r="L9" s="26">
        <f>IF(OR(G9="",H9=""),"",G9*H9)</f>
        <v>300</v>
      </c>
      <c r="M9" s="26">
        <v>62</v>
      </c>
      <c r="N9" s="25" t="inlineStr">
        <v xml:space="preserve">Done while fasted for 20+ hours</v>
      </c>
      <c r="O9" s="8"/>
    </row>
    <row r="10">
      <c r="A10" s="23">
        <v>46219</v>
      </c>
      <c r="B10" s="10">
        <f>IF(A10="","",INT((A10-Settings!$B$4)/7)+1)</f>
        <v>1</v>
      </c>
      <c r="C10" s="10" t="inlineStr">
        <v>Strength</v>
      </c>
      <c r="D10" s="8" t="inlineStr">
        <v xml:space="preserve">Home Strength B</v>
      </c>
      <c r="E10" s="7" t="inlineStr">
        <v xml:space="preserve">Single-Leg Romanian Deadlift</v>
      </c>
      <c r="F10" s="9">
        <v>1</v>
      </c>
      <c r="G10" s="26">
        <v>12</v>
      </c>
      <c r="H10" s="9">
        <v>10</v>
      </c>
      <c r="I10" s="42"/>
      <c r="J10" s="41"/>
      <c r="K10" s="26">
        <v>8.5</v>
      </c>
      <c r="L10" s="26">
        <f>IF(OR(G10="",H10=""),"",G10*H10)</f>
        <v>120</v>
      </c>
      <c r="M10" s="26">
        <v>62</v>
      </c>
      <c r="N10" s="25"/>
      <c r="O10" s="8"/>
    </row>
    <row r="11">
      <c r="A11" s="23">
        <v>46219</v>
      </c>
      <c r="B11" s="10">
        <f>IF(A11="","",INT((A11-Settings!$B$4)/7)+1)</f>
        <v>1</v>
      </c>
      <c r="C11" s="7" t="inlineStr">
        <v>Strength</v>
      </c>
      <c r="D11" s="7" t="inlineStr">
        <v xml:space="preserve">Home Strength B</v>
      </c>
      <c r="E11" s="7" t="inlineStr">
        <v xml:space="preserve">Single-Leg Romanian Deadlift</v>
      </c>
      <c r="F11" s="9">
        <v>2</v>
      </c>
      <c r="G11" s="26">
        <v>12</v>
      </c>
      <c r="H11" s="9">
        <v>10</v>
      </c>
      <c r="I11" s="42"/>
      <c r="J11" s="41"/>
      <c r="K11" s="26">
        <v>8.5</v>
      </c>
      <c r="L11" s="26">
        <f>IF(OR(G11="",H11=""),"",G11*H11)</f>
        <v>120</v>
      </c>
      <c r="M11" s="26">
        <v>62</v>
      </c>
      <c r="N11" s="25"/>
      <c r="O11" s="8"/>
    </row>
    <row r="12">
      <c r="A12" s="23">
        <v>46219</v>
      </c>
      <c r="B12" s="7">
        <f>IF(A12="","",INT((A12-Settings!$B$4)/7)+1)</f>
        <v>1</v>
      </c>
      <c r="C12" s="7" t="inlineStr">
        <v>Strength</v>
      </c>
      <c r="D12" s="7" t="inlineStr">
        <v xml:space="preserve">Home Strength B</v>
      </c>
      <c r="E12" s="7" t="inlineStr">
        <v xml:space="preserve">Single-Leg Romanian Deadlift</v>
      </c>
      <c r="F12" s="9">
        <v>3</v>
      </c>
      <c r="G12" s="26">
        <v>12</v>
      </c>
      <c r="H12" s="9">
        <v>10</v>
      </c>
      <c r="I12" s="42"/>
      <c r="J12" s="41"/>
      <c r="K12" s="26">
        <v>8.5</v>
      </c>
      <c r="L12" s="26">
        <f>IF(OR(G12="",H12=""),"",G12*H12)</f>
        <v>120</v>
      </c>
      <c r="M12" s="26">
        <v>62</v>
      </c>
      <c r="N12" s="25"/>
      <c r="O12" s="8"/>
    </row>
    <row r="13">
      <c r="A13" s="23">
        <v>46219</v>
      </c>
      <c r="B13" s="7">
        <f>IF(A13="","",INT((A13-Settings!$B$4)/7)+1)</f>
        <v>1</v>
      </c>
      <c r="C13" s="7" t="inlineStr">
        <v>Strength</v>
      </c>
      <c r="D13" s="7" t="inlineStr">
        <v xml:space="preserve">Home Strength B</v>
      </c>
      <c r="E13" s="7" t="inlineStr">
        <v xml:space="preserve">Single-Leg Romanian Deadlift</v>
      </c>
      <c r="F13" s="9">
        <v>4</v>
      </c>
      <c r="G13" s="26">
        <v>12</v>
      </c>
      <c r="H13" s="9">
        <v>10</v>
      </c>
      <c r="I13" s="42"/>
      <c r="J13" s="41"/>
      <c r="K13" s="26">
        <v>8.5</v>
      </c>
      <c r="L13" s="26">
        <f>IF(OR(G13="",H13=""),"",G13*H13)</f>
        <v>120</v>
      </c>
      <c r="M13" s="26">
        <v>62</v>
      </c>
      <c r="N13" s="25"/>
      <c r="O13" s="8"/>
    </row>
    <row r="14">
      <c r="A14" s="23">
        <v>46219</v>
      </c>
      <c r="B14" s="7">
        <f>IF(A14="","",INT((A14-Settings!$B$4)/7)+1)</f>
        <v>1</v>
      </c>
      <c r="C14" s="7" t="inlineStr">
        <v>Strength</v>
      </c>
      <c r="D14" s="7" t="inlineStr">
        <v xml:space="preserve">Home Strength B</v>
      </c>
      <c r="E14" s="7" t="inlineStr">
        <v xml:space="preserve">Nordic Hamstring Curl</v>
      </c>
      <c r="F14" s="9">
        <v>1</v>
      </c>
      <c r="G14" s="26"/>
      <c r="H14" s="9">
        <v>8</v>
      </c>
      <c r="I14" s="42"/>
      <c r="J14" s="41"/>
      <c r="K14" s="26">
        <v>8.5</v>
      </c>
      <c r="L14" s="26">
        <f>IF(OR(G14="",H14=""),"",G14*H14)</f>
      </c>
      <c r="M14" s="26">
        <v>62</v>
      </c>
      <c r="N14" s="25"/>
      <c r="O14" s="8"/>
    </row>
    <row r="15">
      <c r="A15" s="23">
        <v>46219</v>
      </c>
      <c r="B15" s="7">
        <f>IF(A15="","",INT((A15-Settings!$B$4)/7)+1)</f>
        <v>1</v>
      </c>
      <c r="C15" s="7" t="inlineStr">
        <v>Strength</v>
      </c>
      <c r="D15" s="7" t="inlineStr">
        <v xml:space="preserve">Home Strength B</v>
      </c>
      <c r="E15" s="7" t="inlineStr">
        <v xml:space="preserve">Pike Push-Up</v>
      </c>
      <c r="F15" s="9">
        <v>1</v>
      </c>
      <c r="G15" s="26"/>
      <c r="H15" s="9">
        <v>12</v>
      </c>
      <c r="I15" s="42"/>
      <c r="J15" s="41"/>
      <c r="K15" s="26">
        <v>8.5</v>
      </c>
      <c r="L15" s="26">
        <f>IF(OR(G15="",H15=""),"",G15*H15)</f>
      </c>
      <c r="M15" s="26">
        <v>62</v>
      </c>
      <c r="N15" s="25"/>
      <c r="O15" s="8"/>
    </row>
    <row r="16">
      <c r="A16" s="23">
        <v>46219</v>
      </c>
      <c r="B16" s="7">
        <f>IF(A16="","",INT((A16-Settings!$B$4)/7)+1)</f>
        <v>1</v>
      </c>
      <c r="C16" s="7" t="inlineStr">
        <v>Strength</v>
      </c>
      <c r="D16" s="7" t="inlineStr">
        <v xml:space="preserve">Home Strength B</v>
      </c>
      <c r="E16" s="7" t="inlineStr">
        <v xml:space="preserve">Pike Push-Up</v>
      </c>
      <c r="F16" s="9">
        <v>2</v>
      </c>
      <c r="G16" s="26"/>
      <c r="H16" s="9">
        <v>12</v>
      </c>
      <c r="I16" s="42"/>
      <c r="J16" s="41"/>
      <c r="K16" s="26">
        <v>8.5</v>
      </c>
      <c r="L16" s="26">
        <f>IF(OR(G16="",H16=""),"",G16*H16)</f>
      </c>
      <c r="M16" s="26">
        <v>62</v>
      </c>
      <c r="N16" s="25"/>
      <c r="O16" s="8"/>
    </row>
    <row r="17">
      <c r="A17" s="23">
        <v>46219</v>
      </c>
      <c r="B17" s="7">
        <f>IF(A17="","",INT((A17-Settings!$B$4)/7)+1)</f>
        <v>1</v>
      </c>
      <c r="C17" s="7" t="inlineStr">
        <v>Strength</v>
      </c>
      <c r="D17" s="7" t="inlineStr">
        <v xml:space="preserve">Home Strength B</v>
      </c>
      <c r="E17" s="7" t="inlineStr">
        <v xml:space="preserve">Pike Push-Up</v>
      </c>
      <c r="F17" s="9">
        <v>3</v>
      </c>
      <c r="G17" s="26"/>
      <c r="H17" s="9">
        <v>12</v>
      </c>
      <c r="I17" s="42"/>
      <c r="J17" s="41"/>
      <c r="K17" s="26">
        <v>8.5</v>
      </c>
      <c r="L17" s="26">
        <f>IF(OR(G17="",H17=""),"",G17*H17)</f>
      </c>
      <c r="M17" s="26">
        <v>62</v>
      </c>
      <c r="N17" s="25"/>
      <c r="O17" s="8"/>
    </row>
    <row r="18">
      <c r="A18" s="23">
        <v>46219</v>
      </c>
      <c r="B18" s="7">
        <f>IF(A18="","",INT((A18-Settings!$B$4)/7)+1)</f>
        <v>1</v>
      </c>
      <c r="C18" s="7" t="inlineStr">
        <v>Strength</v>
      </c>
      <c r="D18" s="7" t="inlineStr">
        <v xml:space="preserve">Home Strength B</v>
      </c>
      <c r="E18" s="7" t="inlineStr">
        <v xml:space="preserve">Pike Push-Up</v>
      </c>
      <c r="F18" s="9">
        <v>4</v>
      </c>
      <c r="G18" s="26"/>
      <c r="H18" s="9">
        <v>12</v>
      </c>
      <c r="I18" s="42"/>
      <c r="J18" s="41"/>
      <c r="K18" s="26">
        <v>8.5</v>
      </c>
      <c r="L18" s="26">
        <f>IF(OR(G18="",H18=""),"",G18*H18)</f>
      </c>
      <c r="M18" s="26">
        <v>62</v>
      </c>
      <c r="N18" s="25"/>
      <c r="O18" s="8"/>
    </row>
    <row r="19">
      <c r="A19" s="23">
        <v>46219</v>
      </c>
      <c r="B19" s="7">
        <f>IF(A19="","",INT((A19-Settings!$B$4)/7)+1)</f>
        <v>1</v>
      </c>
      <c r="C19" s="7" t="inlineStr">
        <v>Strength</v>
      </c>
      <c r="D19" s="7" t="inlineStr">
        <v xml:space="preserve">Home Strength B</v>
      </c>
      <c r="E19" s="7" t="inlineStr">
        <v xml:space="preserve">Reverse Lunge</v>
      </c>
      <c r="F19" s="9">
        <v>1</v>
      </c>
      <c r="G19" s="26"/>
      <c r="H19" s="9">
        <v>10</v>
      </c>
      <c r="I19" s="42"/>
      <c r="J19" s="41"/>
      <c r="K19" s="26">
        <v>7</v>
      </c>
      <c r="L19" s="26">
        <f>IF(OR(G19="",H19=""),"",G19*H19)</f>
      </c>
      <c r="M19" s="26">
        <v>62</v>
      </c>
      <c r="N19" s="25" t="inlineStr">
        <v xml:space="preserve">Reps per leg</v>
      </c>
      <c r="O19" s="8"/>
    </row>
    <row r="20">
      <c r="A20" s="23">
        <v>46219</v>
      </c>
      <c r="B20" s="7">
        <f>IF(A20="","",INT((A20-Settings!$B$4)/7)+1)</f>
        <v>1</v>
      </c>
      <c r="C20" s="7" t="inlineStr">
        <v>Strength</v>
      </c>
      <c r="D20" s="7" t="inlineStr">
        <v xml:space="preserve">Home Strength B</v>
      </c>
      <c r="E20" s="7" t="inlineStr">
        <v xml:space="preserve">Reverse Lunge</v>
      </c>
      <c r="F20" s="9">
        <v>2</v>
      </c>
      <c r="G20" s="26"/>
      <c r="H20" s="9">
        <v>10</v>
      </c>
      <c r="I20" s="42"/>
      <c r="J20" s="41"/>
      <c r="K20" s="26">
        <v>7</v>
      </c>
      <c r="L20" s="26">
        <f>IF(OR(G20="",H20=""),"",G20*H20)</f>
      </c>
      <c r="M20" s="26">
        <v>62</v>
      </c>
      <c r="N20" s="25" t="inlineStr">
        <v xml:space="preserve">Reps per leg</v>
      </c>
      <c r="O20" s="8"/>
    </row>
    <row r="21">
      <c r="A21" s="23">
        <v>46219</v>
      </c>
      <c r="B21" s="7">
        <f>IF(A21="","",INT((A21-Settings!$B$4)/7)+1)</f>
        <v>1</v>
      </c>
      <c r="C21" s="7" t="inlineStr">
        <v>Strength</v>
      </c>
      <c r="D21" s="7" t="inlineStr">
        <v xml:space="preserve">Home Strength B</v>
      </c>
      <c r="E21" s="7" t="inlineStr">
        <v xml:space="preserve">Reverse Lunge</v>
      </c>
      <c r="F21" s="9">
        <v>3</v>
      </c>
      <c r="G21" s="26"/>
      <c r="H21" s="9">
        <v>10</v>
      </c>
      <c r="I21" s="42"/>
      <c r="J21" s="41"/>
      <c r="K21" s="26">
        <v>7</v>
      </c>
      <c r="L21" s="26">
        <f>IF(OR(G21="",H21=""),"",G21*H21)</f>
      </c>
      <c r="M21" s="26">
        <v>62</v>
      </c>
      <c r="N21" s="25" t="inlineStr">
        <v xml:space="preserve">Reps per leg</v>
      </c>
      <c r="O21" s="8"/>
    </row>
    <row r="22">
      <c r="A22" s="23">
        <v>46219</v>
      </c>
      <c r="B22" s="7">
        <f>IF(A22="","",INT((A22-Settings!$B$4)/7)+1)</f>
        <v>1</v>
      </c>
      <c r="C22" s="7" t="inlineStr">
        <v>Strength</v>
      </c>
      <c r="D22" s="7" t="inlineStr">
        <v xml:space="preserve">Home Strength B</v>
      </c>
      <c r="E22" s="7" t="inlineStr">
        <v xml:space="preserve">Kettlebell Swing</v>
      </c>
      <c r="F22" s="9">
        <v>1</v>
      </c>
      <c r="G22" s="26">
        <v>12</v>
      </c>
      <c r="H22" s="9">
        <v>15</v>
      </c>
      <c r="I22" s="42"/>
      <c r="J22" s="41"/>
      <c r="K22" s="26">
        <v>8</v>
      </c>
      <c r="L22" s="26">
        <f>IF(OR(G22="",H22=""),"",G22*H22)</f>
        <v>180</v>
      </c>
      <c r="M22" s="26">
        <v>62</v>
      </c>
      <c r="N22" s="25"/>
      <c r="O22" s="8"/>
    </row>
    <row r="23">
      <c r="A23" s="23">
        <v>46219</v>
      </c>
      <c r="B23" s="7">
        <f>IF(A23="","",INT((A23-Settings!$B$4)/7)+1)</f>
        <v>1</v>
      </c>
      <c r="C23" s="7" t="inlineStr">
        <v>Strength</v>
      </c>
      <c r="D23" s="7" t="inlineStr">
        <v xml:space="preserve">Home Strength B</v>
      </c>
      <c r="E23" s="7" t="inlineStr">
        <v xml:space="preserve">Kettlebell Swing</v>
      </c>
      <c r="F23" s="9">
        <v>2</v>
      </c>
      <c r="G23" s="26">
        <v>12</v>
      </c>
      <c r="H23" s="9">
        <v>15</v>
      </c>
      <c r="I23" s="42"/>
      <c r="J23" s="41"/>
      <c r="K23" s="26">
        <v>8</v>
      </c>
      <c r="L23" s="26">
        <f>IF(OR(G23="",H23=""),"",G23*H23)</f>
        <v>180</v>
      </c>
      <c r="M23" s="26">
        <v>62</v>
      </c>
      <c r="N23" s="25"/>
      <c r="O23" s="8"/>
    </row>
    <row r="24">
      <c r="A24" s="23">
        <v>46219</v>
      </c>
      <c r="B24" s="7">
        <f>IF(A24="","",INT((A24-Settings!$B$4)/7)+1)</f>
        <v>1</v>
      </c>
      <c r="C24" s="7" t="inlineStr">
        <v>Strength</v>
      </c>
      <c r="D24" s="7" t="inlineStr">
        <v xml:space="preserve">Home Strength B</v>
      </c>
      <c r="E24" s="7" t="inlineStr">
        <v xml:space="preserve">Kettlebell Swing</v>
      </c>
      <c r="F24" s="9">
        <v>3</v>
      </c>
      <c r="G24" s="26">
        <v>12</v>
      </c>
      <c r="H24" s="9">
        <v>15</v>
      </c>
      <c r="I24" s="42"/>
      <c r="J24" s="41"/>
      <c r="K24" s="26">
        <v>8</v>
      </c>
      <c r="L24" s="26">
        <f>IF(OR(G24="",H24=""),"",G24*H24)</f>
        <v>180</v>
      </c>
      <c r="M24" s="26">
        <v>62</v>
      </c>
      <c r="N24" s="25"/>
      <c r="O24" s="8"/>
    </row>
    <row r="25">
      <c r="A25" s="23">
        <v>46219</v>
      </c>
      <c r="B25" s="7">
        <f>IF(A25="","",INT((A25-Settings!$B$4)/7)+1)</f>
        <v>1</v>
      </c>
      <c r="C25" s="7" t="inlineStr">
        <v>Strength</v>
      </c>
      <c r="D25" s="7" t="inlineStr">
        <v xml:space="preserve">Home Strength B</v>
      </c>
      <c r="E25" s="7" t="inlineStr">
        <v xml:space="preserve">Kettlebell Swing</v>
      </c>
      <c r="F25" s="9">
        <v>4</v>
      </c>
      <c r="G25" s="26">
        <v>12</v>
      </c>
      <c r="H25" s="9">
        <v>15</v>
      </c>
      <c r="I25" s="42"/>
      <c r="J25" s="41"/>
      <c r="K25" s="26">
        <v>8</v>
      </c>
      <c r="L25" s="26">
        <f>IF(OR(G25="",H25=""),"",G25*H25)</f>
        <v>180</v>
      </c>
      <c r="M25" s="26">
        <v>62</v>
      </c>
      <c r="N25" s="25"/>
      <c r="O25" s="8"/>
    </row>
    <row r="26">
      <c r="A26" s="23">
        <v>46219</v>
      </c>
      <c r="B26" s="7">
        <f>IF(A26="","",INT((A26-Settings!$B$4)/7)+1)</f>
        <v>1</v>
      </c>
      <c r="C26" s="7" t="inlineStr">
        <v>Strength</v>
      </c>
      <c r="D26" s="7" t="inlineStr">
        <v xml:space="preserve">Home Strength B</v>
      </c>
      <c r="E26" s="7" t="inlineStr">
        <v xml:space="preserve">Suspension Face</v>
      </c>
      <c r="F26" s="9">
        <v>1</v>
      </c>
      <c r="G26" s="26"/>
      <c r="H26" s="9">
        <v>10</v>
      </c>
      <c r="I26" s="42"/>
      <c r="J26" s="41"/>
      <c r="K26" s="26">
        <v>7</v>
      </c>
      <c r="L26" s="26">
        <f>IF(OR(G26="",H26=""),"",G26*H26)</f>
      </c>
      <c r="M26" s="26">
        <v>62</v>
      </c>
      <c r="N26" s="25"/>
      <c r="O26" s="8"/>
    </row>
    <row r="27">
      <c r="A27" s="23">
        <v>46219</v>
      </c>
      <c r="B27" s="7">
        <f>IF(A27="","",INT((A27-Settings!$B$4)/7)+1)</f>
        <v>1</v>
      </c>
      <c r="C27" s="7" t="inlineStr">
        <v>Strength</v>
      </c>
      <c r="D27" s="7" t="inlineStr">
        <v xml:space="preserve">Home Strength B</v>
      </c>
      <c r="E27" s="7" t="inlineStr">
        <v xml:space="preserve">Suspension Face</v>
      </c>
      <c r="F27" s="9">
        <v>2</v>
      </c>
      <c r="G27" s="26"/>
      <c r="H27" s="9">
        <v>10</v>
      </c>
      <c r="I27" s="42"/>
      <c r="J27" s="41"/>
      <c r="K27" s="26">
        <v>7</v>
      </c>
      <c r="L27" s="26">
        <f>IF(OR(G27="",H27=""),"",G27*H27)</f>
      </c>
      <c r="M27" s="26">
        <v>62</v>
      </c>
      <c r="N27" s="25"/>
      <c r="O27" s="8"/>
    </row>
    <row r="28">
      <c r="A28" s="23">
        <v>46219</v>
      </c>
      <c r="B28" s="7">
        <f>IF(A28="","",INT((A28-Settings!$B$4)/7)+1)</f>
        <v>1</v>
      </c>
      <c r="C28" s="7" t="inlineStr">
        <v>Strength</v>
      </c>
      <c r="D28" s="7" t="inlineStr">
        <v xml:space="preserve">Home Strength B</v>
      </c>
      <c r="E28" s="7" t="inlineStr">
        <v xml:space="preserve">Suspension Face</v>
      </c>
      <c r="F28" s="9">
        <v>3</v>
      </c>
      <c r="G28" s="26"/>
      <c r="H28" s="9">
        <v>10</v>
      </c>
      <c r="I28" s="42"/>
      <c r="J28" s="41"/>
      <c r="K28" s="26">
        <v>7</v>
      </c>
      <c r="L28" s="26">
        <f>IF(OR(G28="",H28=""),"",G28*H28)</f>
      </c>
      <c r="M28" s="26">
        <v>62</v>
      </c>
      <c r="N28" s="25"/>
      <c r="O28" s="8"/>
    </row>
    <row r="29">
      <c r="A29" s="23">
        <v>46221</v>
      </c>
      <c r="B29" s="7">
        <f>IF(A29="","",INT((A29-Settings!$B$4)/7)+1)</f>
        <v>1</v>
      </c>
      <c r="C29" s="3" t="inlineStr">
        <v>Strength</v>
      </c>
      <c r="D29" s="11" t="inlineStr">
        <v xml:space="preserve">Full-Body Gym</v>
      </c>
      <c r="E29" s="7" t="inlineStr">
        <v xml:space="preserve">Front Squat</v>
      </c>
      <c r="F29" s="9">
        <v>1</v>
      </c>
      <c r="G29" s="26">
        <v>40</v>
      </c>
      <c r="H29" s="9">
        <v>5</v>
      </c>
      <c r="I29" s="42"/>
      <c r="J29" s="41"/>
      <c r="K29" s="26">
        <v>7</v>
      </c>
      <c r="L29" s="26">
        <f>IF(OR(G29="",H29=""),"",G29*H29)</f>
        <v>200</v>
      </c>
      <c r="M29" s="26">
        <v>61</v>
      </c>
      <c r="N29" s="25"/>
      <c r="O29" s="8"/>
    </row>
    <row r="30">
      <c r="A30" s="23">
        <v>46221</v>
      </c>
      <c r="B30" s="7">
        <f>IF(A30="","",INT((A30-Settings!$B$4)/7)+1)</f>
        <v>1</v>
      </c>
      <c r="C30" s="3" t="inlineStr">
        <v>Strength</v>
      </c>
      <c r="D30" s="7" t="inlineStr">
        <v xml:space="preserve">Full-Body Gym</v>
      </c>
      <c r="E30" s="7" t="inlineStr">
        <v xml:space="preserve">Front Squat</v>
      </c>
      <c r="F30" s="9">
        <v>2</v>
      </c>
      <c r="G30" s="26">
        <v>50</v>
      </c>
      <c r="H30" s="9">
        <v>5</v>
      </c>
      <c r="I30" s="42"/>
      <c r="J30" s="41"/>
      <c r="K30" s="26">
        <v>7</v>
      </c>
      <c r="L30" s="26">
        <f>IF(OR(G30="",H30=""),"",G30*H30)</f>
        <v>250</v>
      </c>
      <c r="M30" s="26">
        <v>61</v>
      </c>
      <c r="N30" s="25"/>
      <c r="O30" s="8"/>
    </row>
    <row r="31">
      <c r="A31" s="23">
        <v>46221</v>
      </c>
      <c r="B31" s="7">
        <f>IF(A31="","",INT((A31-Settings!$B$4)/7)+1)</f>
        <v>1</v>
      </c>
      <c r="C31" s="3" t="inlineStr">
        <v>Strength</v>
      </c>
      <c r="D31" s="7" t="inlineStr">
        <v xml:space="preserve">Full-Body Gym</v>
      </c>
      <c r="E31" s="7" t="inlineStr">
        <v xml:space="preserve">Front Squat</v>
      </c>
      <c r="F31" s="9">
        <v>3</v>
      </c>
      <c r="G31" s="26">
        <v>60</v>
      </c>
      <c r="H31" s="9">
        <v>5</v>
      </c>
      <c r="I31" s="42"/>
      <c r="J31" s="41"/>
      <c r="K31" s="26">
        <v>8</v>
      </c>
      <c r="L31" s="26">
        <f>IF(OR(G31="",H31=""),"",G31*H31)</f>
        <v>300</v>
      </c>
      <c r="M31" s="26">
        <v>61</v>
      </c>
      <c r="N31" s="25"/>
      <c r="O31" s="8"/>
    </row>
    <row r="32">
      <c r="A32" s="23">
        <v>46221</v>
      </c>
      <c r="B32" s="7">
        <f>IF(A32="","",INT((A32-Settings!$B$4)/7)+1)</f>
        <v>1</v>
      </c>
      <c r="C32" s="3" t="inlineStr">
        <v>Strength</v>
      </c>
      <c r="D32" s="7" t="inlineStr">
        <v xml:space="preserve">Full-Body Gym</v>
      </c>
      <c r="E32" s="7" t="inlineStr">
        <v xml:space="preserve">Front Squat</v>
      </c>
      <c r="F32" s="9">
        <v>4</v>
      </c>
      <c r="G32" s="26">
        <v>70</v>
      </c>
      <c r="H32" s="9">
        <v>5</v>
      </c>
      <c r="I32" s="42"/>
      <c r="J32" s="41"/>
      <c r="K32" s="26">
        <v>8</v>
      </c>
      <c r="L32" s="26">
        <f>IF(OR(G32="",H32=""),"",G32*H32)</f>
        <v>350</v>
      </c>
      <c r="M32" s="26">
        <v>61</v>
      </c>
      <c r="N32" s="25"/>
      <c r="O32" s="8"/>
    </row>
    <row r="33">
      <c r="A33" s="23">
        <v>46221</v>
      </c>
      <c r="B33" s="7">
        <f>IF(A33="","",INT((A33-Settings!$B$4)/7)+1)</f>
        <v>1</v>
      </c>
      <c r="C33" s="3" t="inlineStr">
        <v>Strength</v>
      </c>
      <c r="D33" s="7" t="inlineStr">
        <v xml:space="preserve">Full-Body Gym</v>
      </c>
      <c r="E33" s="7" t="inlineStr">
        <v xml:space="preserve">Front Squat</v>
      </c>
      <c r="F33" s="9">
        <v>5</v>
      </c>
      <c r="G33" s="26">
        <v>90</v>
      </c>
      <c r="H33" s="9">
        <v>3</v>
      </c>
      <c r="I33" s="42"/>
      <c r="J33" s="41"/>
      <c r="K33" s="26">
        <v>8</v>
      </c>
      <c r="L33" s="26">
        <f>IF(OR(G33="",H33=""),"",G33*H33)</f>
        <v>270</v>
      </c>
      <c r="M33" s="26">
        <v>61</v>
      </c>
      <c r="N33" s="25" t="inlineStr">
        <v xml:space="preserve">Failed rep at the end</v>
      </c>
      <c r="O33" s="12"/>
    </row>
    <row r="34">
      <c r="A34" s="23">
        <v>46221</v>
      </c>
      <c r="B34" s="7">
        <f>IF(A34="","",INT((A34-Settings!$B$4)/7)+1)</f>
        <v>1</v>
      </c>
      <c r="C34" s="3" t="inlineStr">
        <v>Strength</v>
      </c>
      <c r="D34" s="11" t="inlineStr">
        <v xml:space="preserve">Full-Body Gym</v>
      </c>
      <c r="E34" s="7" t="inlineStr">
        <v xml:space="preserve">Back Squat</v>
      </c>
      <c r="F34" s="9">
        <v>1</v>
      </c>
      <c r="G34" s="26">
        <v>100</v>
      </c>
      <c r="H34" s="9">
        <v>3</v>
      </c>
      <c r="I34" s="42"/>
      <c r="J34" s="41"/>
      <c r="K34" s="26">
        <v>7.5</v>
      </c>
      <c r="L34" s="26">
        <f>IF(OR(G34="",H34=""),"",G34*H34)</f>
        <v>300</v>
      </c>
      <c r="M34" s="26">
        <v>61</v>
      </c>
      <c r="N34" s="25" t="inlineStr">
        <v xml:space="preserve">Get spotted, make it easier for reps</v>
      </c>
      <c r="O34" s="12"/>
    </row>
    <row r="35">
      <c r="A35" s="23">
        <v>46221</v>
      </c>
      <c r="B35" s="7">
        <f>IF(A35="","",INT((A35-Settings!$B$4)/7)+1)</f>
        <v>1</v>
      </c>
      <c r="C35" s="3" t="inlineStr">
        <v>Strength</v>
      </c>
      <c r="D35" s="11" t="inlineStr">
        <v xml:space="preserve">Full-Body Gym</v>
      </c>
      <c r="E35" s="7" t="inlineStr">
        <v xml:space="preserve">Incline Bench Press</v>
      </c>
      <c r="F35" s="9">
        <v>1</v>
      </c>
      <c r="G35" s="26">
        <v>35</v>
      </c>
      <c r="H35" s="9">
        <v>12</v>
      </c>
      <c r="I35" s="42"/>
      <c r="J35" s="41"/>
      <c r="K35" s="26">
        <v>7</v>
      </c>
      <c r="L35" s="26">
        <f>IF(OR(G35="",H35=""),"",G35*H35)</f>
        <v>420</v>
      </c>
      <c r="M35" s="26">
        <v>61</v>
      </c>
      <c r="N35" s="25"/>
      <c r="O35" s="8"/>
    </row>
    <row r="36">
      <c r="A36" s="23">
        <v>46221</v>
      </c>
      <c r="B36" s="7">
        <f>IF(A36="","",INT((A36-Settings!$B$4)/7)+1)</f>
        <v>1</v>
      </c>
      <c r="C36" s="3" t="inlineStr">
        <v>Strength</v>
      </c>
      <c r="D36" s="11" t="inlineStr">
        <v xml:space="preserve">Full-Body Gym</v>
      </c>
      <c r="E36" s="7" t="inlineStr">
        <v xml:space="preserve">Chest Press</v>
      </c>
      <c r="F36" s="9">
        <v>1</v>
      </c>
      <c r="G36" s="26">
        <v>20</v>
      </c>
      <c r="H36" s="9">
        <v>10</v>
      </c>
      <c r="I36" s="42"/>
      <c r="J36" s="41"/>
      <c r="K36" s="26">
        <v>6</v>
      </c>
      <c r="L36" s="26">
        <f>IF(OR(G36="",H36=""),"",G36*H36)</f>
        <v>200</v>
      </c>
      <c r="M36" s="26">
        <v>61</v>
      </c>
      <c r="N36" s="25"/>
      <c r="O36" s="8"/>
    </row>
    <row r="37">
      <c r="A37" s="23">
        <v>46221</v>
      </c>
      <c r="B37" s="7">
        <f>IF(A37="","",INT((A37-Settings!$B$4)/7)+1)</f>
        <v>1</v>
      </c>
      <c r="C37" s="3" t="inlineStr">
        <v>Strength</v>
      </c>
      <c r="D37" s="7" t="inlineStr">
        <v xml:space="preserve">Full-Body Gym</v>
      </c>
      <c r="E37" s="7" t="inlineStr">
        <v xml:space="preserve">Chest Press</v>
      </c>
      <c r="F37" s="9">
        <v>2</v>
      </c>
      <c r="G37" s="26">
        <v>35</v>
      </c>
      <c r="H37" s="9">
        <v>7</v>
      </c>
      <c r="I37" s="42"/>
      <c r="J37" s="41"/>
      <c r="K37" s="26">
        <v>6</v>
      </c>
      <c r="L37" s="26">
        <f>IF(OR(G37="",H37=""),"",G37*H37)</f>
        <v>245</v>
      </c>
      <c r="M37" s="26">
        <v>61</v>
      </c>
      <c r="N37" s="25"/>
      <c r="O37" s="8"/>
    </row>
    <row r="38">
      <c r="A38" s="23">
        <v>46221</v>
      </c>
      <c r="B38" s="7">
        <f>IF(A38="","",INT((A38-Settings!$B$4)/7)+1)</f>
        <v>1</v>
      </c>
      <c r="C38" s="3" t="inlineStr">
        <v>Strength</v>
      </c>
      <c r="D38" s="7" t="inlineStr">
        <v xml:space="preserve">Full-Body Gym</v>
      </c>
      <c r="E38" s="7" t="inlineStr">
        <v xml:space="preserve">Chest Press</v>
      </c>
      <c r="F38" s="9">
        <v>3</v>
      </c>
      <c r="G38" s="26">
        <v>35</v>
      </c>
      <c r="H38" s="9">
        <v>10</v>
      </c>
      <c r="I38" s="42"/>
      <c r="J38" s="41"/>
      <c r="K38" s="26">
        <v>6</v>
      </c>
      <c r="L38" s="26">
        <f>IF(OR(G38="",H38=""),"",G38*H38)</f>
        <v>350</v>
      </c>
      <c r="M38" s="26">
        <v>61</v>
      </c>
      <c r="N38" s="25"/>
      <c r="O38" s="8"/>
    </row>
    <row r="39">
      <c r="A39" s="23">
        <v>46221</v>
      </c>
      <c r="B39" s="7">
        <f>IF(A39="","",INT((A39-Settings!$B$4)/7)+1)</f>
        <v>1</v>
      </c>
      <c r="C39" s="3" t="inlineStr">
        <v>Strength</v>
      </c>
      <c r="D39" s="7" t="inlineStr">
        <v xml:space="preserve">Full-Body Gym</v>
      </c>
      <c r="E39" s="7" t="inlineStr">
        <v xml:space="preserve">Chest Press</v>
      </c>
      <c r="F39" s="9">
        <v>4</v>
      </c>
      <c r="G39" s="26">
        <v>65</v>
      </c>
      <c r="H39" s="9">
        <v>8</v>
      </c>
      <c r="I39" s="42"/>
      <c r="J39" s="41"/>
      <c r="K39" s="26">
        <v>8.5</v>
      </c>
      <c r="L39" s="26">
        <f>IF(OR(G39="",H39=""),"",G39*H39)</f>
        <v>520</v>
      </c>
      <c r="M39" s="26">
        <v>61</v>
      </c>
      <c r="N39" s="25"/>
      <c r="O39" s="8"/>
    </row>
    <row r="40">
      <c r="A40" s="23">
        <v>46221</v>
      </c>
      <c r="B40" s="7">
        <f>IF(A40="","",INT((A40-Settings!$B$4)/7)+1)</f>
        <v>1</v>
      </c>
      <c r="C40" s="3" t="inlineStr">
        <v>Strength</v>
      </c>
      <c r="D40" s="7" t="inlineStr">
        <v xml:space="preserve">Full-Body Gym</v>
      </c>
      <c r="E40" s="7" t="inlineStr">
        <v xml:space="preserve">Chest Press</v>
      </c>
      <c r="F40" s="9">
        <v>5</v>
      </c>
      <c r="G40" s="26">
        <v>55</v>
      </c>
      <c r="H40" s="9">
        <v>6</v>
      </c>
      <c r="I40" s="42"/>
      <c r="J40" s="41"/>
      <c r="K40" s="26">
        <v>8</v>
      </c>
      <c r="L40" s="26">
        <f>IF(OR(G40="",H40=""),"",G40*H40)</f>
        <v>330</v>
      </c>
      <c r="M40" s="26">
        <v>61</v>
      </c>
      <c r="N40" s="25"/>
      <c r="O40" s="8"/>
    </row>
    <row r="41">
      <c r="A41" s="23">
        <v>46221</v>
      </c>
      <c r="B41" s="7">
        <f>IF(A41="","",INT((A41-Settings!$B$4)/7)+1)</f>
        <v>1</v>
      </c>
      <c r="C41" s="3" t="inlineStr">
        <v>Strength</v>
      </c>
      <c r="D41" s="7" t="inlineStr">
        <v xml:space="preserve">Full-Body Gym</v>
      </c>
      <c r="E41" s="7" t="inlineStr">
        <v xml:space="preserve">Chest Press</v>
      </c>
      <c r="F41" s="9">
        <v>6</v>
      </c>
      <c r="G41" s="26">
        <v>55</v>
      </c>
      <c r="H41" s="9">
        <v>7</v>
      </c>
      <c r="I41" s="42"/>
      <c r="J41" s="41"/>
      <c r="K41" s="26">
        <v>8</v>
      </c>
      <c r="L41" s="26">
        <f>IF(OR(G41="",H41=""),"",G41*H41)</f>
        <v>385</v>
      </c>
      <c r="M41" s="26">
        <v>61</v>
      </c>
      <c r="N41" s="25"/>
      <c r="O41" s="8"/>
    </row>
    <row r="42">
      <c r="A42" s="23">
        <v>46221</v>
      </c>
      <c r="B42" s="7">
        <f>IF(A42="","",INT((A42-Settings!$B$4)/7)+1)</f>
        <v>1</v>
      </c>
      <c r="C42" s="3" t="inlineStr">
        <v>Strength</v>
      </c>
      <c r="D42" s="7" t="inlineStr">
        <v xml:space="preserve">Full-Body Gym</v>
      </c>
      <c r="E42" s="7" t="inlineStr">
        <v xml:space="preserve">T-Bar Row</v>
      </c>
      <c r="F42" s="9">
        <v>1</v>
      </c>
      <c r="G42" s="26">
        <v>15</v>
      </c>
      <c r="H42" s="9">
        <v>12</v>
      </c>
      <c r="I42" s="42"/>
      <c r="J42" s="41"/>
      <c r="K42" s="26">
        <v>7.5</v>
      </c>
      <c r="L42" s="26">
        <f>IF(OR(G42="",H42=""),"",G42*H42)</f>
        <v>180</v>
      </c>
      <c r="M42" s="26">
        <v>61</v>
      </c>
      <c r="N42" s="25"/>
      <c r="O42" s="8"/>
    </row>
    <row r="43">
      <c r="A43" s="23">
        <v>46221</v>
      </c>
      <c r="B43" s="7">
        <f>IF(A43="","",INT((A43-Settings!$B$4)/7)+1)</f>
        <v>1</v>
      </c>
      <c r="C43" s="3" t="inlineStr">
        <v>Strength</v>
      </c>
      <c r="D43" s="7" t="inlineStr">
        <v xml:space="preserve">Full-Body Gym</v>
      </c>
      <c r="E43" s="7" t="inlineStr">
        <v xml:space="preserve">T-Bar Row</v>
      </c>
      <c r="F43" s="9">
        <v>2</v>
      </c>
      <c r="G43" s="26">
        <v>20</v>
      </c>
      <c r="H43" s="9">
        <v>12</v>
      </c>
      <c r="I43" s="42"/>
      <c r="J43" s="41"/>
      <c r="K43" s="26">
        <v>7.7999999999999998</v>
      </c>
      <c r="L43" s="26">
        <f>IF(OR(G43="",H43=""),"",G43*H43)</f>
        <v>240</v>
      </c>
      <c r="M43" s="26">
        <v>61</v>
      </c>
      <c r="N43" s="25"/>
      <c r="O43" s="8"/>
    </row>
    <row r="44">
      <c r="A44" s="23">
        <v>46221</v>
      </c>
      <c r="B44" s="7">
        <f>IF(A44="","",INT((A44-Settings!$B$4)/7)+1)</f>
        <v>1</v>
      </c>
      <c r="C44" s="3" t="inlineStr">
        <v>Strength</v>
      </c>
      <c r="D44" s="7" t="inlineStr">
        <v xml:space="preserve">Full-Body Gym</v>
      </c>
      <c r="E44" s="7" t="inlineStr">
        <v xml:space="preserve">T-Bar Row</v>
      </c>
      <c r="F44" s="9">
        <v>3</v>
      </c>
      <c r="G44" s="26">
        <v>25</v>
      </c>
      <c r="H44" s="9">
        <v>12</v>
      </c>
      <c r="I44" s="42"/>
      <c r="J44" s="41"/>
      <c r="K44" s="26">
        <v>8</v>
      </c>
      <c r="L44" s="26">
        <f>IF(OR(G44="",H44=""),"",G44*H44)</f>
        <v>300</v>
      </c>
      <c r="M44" s="26">
        <v>61</v>
      </c>
      <c r="N44" s="25"/>
      <c r="O44" s="8"/>
    </row>
    <row r="45">
      <c r="A45" s="23">
        <v>46221</v>
      </c>
      <c r="B45" s="7">
        <f>IF(A45="","",INT((A45-Settings!$B$4)/7)+1)</f>
        <v>1</v>
      </c>
      <c r="C45" s="3" t="inlineStr">
        <v>Strength</v>
      </c>
      <c r="D45" s="7" t="inlineStr">
        <v xml:space="preserve">Full-Body Gym</v>
      </c>
      <c r="E45" s="7" t="inlineStr">
        <v xml:space="preserve">T-Bar Row</v>
      </c>
      <c r="F45" s="9">
        <v>4</v>
      </c>
      <c r="G45" s="26">
        <v>30</v>
      </c>
      <c r="H45" s="9">
        <v>12</v>
      </c>
      <c r="I45" s="42"/>
      <c r="J45" s="41"/>
      <c r="K45" s="26">
        <v>8.5</v>
      </c>
      <c r="L45" s="26">
        <f>IF(OR(G45="",H45=""),"",G45*H45)</f>
        <v>360</v>
      </c>
      <c r="M45" s="26">
        <v>61</v>
      </c>
      <c r="N45" s="25"/>
      <c r="O45" s="8"/>
    </row>
    <row r="46">
      <c r="A46" s="23">
        <v>46221</v>
      </c>
      <c r="B46" s="7">
        <f>IF(A46="","",INT((A46-Settings!$B$4)/7)+1)</f>
        <v>1</v>
      </c>
      <c r="C46" s="3" t="inlineStr">
        <v>Strength</v>
      </c>
      <c r="D46" s="11" t="inlineStr">
        <v xml:space="preserve">Full-Body Gym</v>
      </c>
      <c r="E46" s="7" t="inlineStr">
        <v>Deadlift</v>
      </c>
      <c r="F46" s="9">
        <v>1</v>
      </c>
      <c r="G46" s="26">
        <v>40</v>
      </c>
      <c r="H46" s="9">
        <v>8</v>
      </c>
      <c r="I46" s="42"/>
      <c r="J46" s="41"/>
      <c r="K46" s="26">
        <v>7</v>
      </c>
      <c r="L46" s="26">
        <f>IF(OR(G46="",H46=""),"",G46*H46)</f>
        <v>320</v>
      </c>
      <c r="M46" s="26"/>
      <c r="N46" s="25"/>
      <c r="O46" s="8"/>
    </row>
    <row r="47">
      <c r="A47" s="23">
        <v>46221</v>
      </c>
      <c r="B47" s="7">
        <f>IF(A47="","",INT((A47-Settings!$B$4)/7)+1)</f>
        <v>1</v>
      </c>
      <c r="C47" s="3" t="inlineStr">
        <v>Strength</v>
      </c>
      <c r="D47" s="7" t="inlineStr">
        <v xml:space="preserve">Full-Body Gym</v>
      </c>
      <c r="E47" s="7" t="inlineStr">
        <v>Deadlift</v>
      </c>
      <c r="F47" s="9">
        <v>2</v>
      </c>
      <c r="G47" s="26">
        <v>60</v>
      </c>
      <c r="H47" s="9">
        <v>8</v>
      </c>
      <c r="I47" s="42"/>
      <c r="J47" s="41"/>
      <c r="K47" s="26">
        <v>8</v>
      </c>
      <c r="L47" s="26">
        <f>IF(OR(G47="",H47=""),"",G47*H47)</f>
        <v>480</v>
      </c>
      <c r="M47" s="26"/>
      <c r="N47" s="25"/>
      <c r="O47" s="8"/>
    </row>
    <row r="48">
      <c r="A48" s="23">
        <v>46221</v>
      </c>
      <c r="B48" s="7">
        <f>IF(A48="","",INT((A48-Settings!$B$4)/7)+1)</f>
        <v>1</v>
      </c>
      <c r="C48" s="3" t="inlineStr">
        <v>Strength</v>
      </c>
      <c r="D48" s="7" t="inlineStr">
        <v xml:space="preserve">Full-Body Gym</v>
      </c>
      <c r="E48" s="7" t="inlineStr">
        <v>Deadlift</v>
      </c>
      <c r="F48" s="9">
        <v>3</v>
      </c>
      <c r="G48" s="26">
        <v>60</v>
      </c>
      <c r="H48" s="9">
        <v>8</v>
      </c>
      <c r="I48" s="42"/>
      <c r="J48" s="41"/>
      <c r="K48" s="26">
        <v>8</v>
      </c>
      <c r="L48" s="26">
        <f>IF(OR(G48="",H48=""),"",G48*H48)</f>
        <v>480</v>
      </c>
      <c r="M48" s="26"/>
      <c r="N48" s="25"/>
      <c r="O48" s="8"/>
    </row>
    <row r="49">
      <c r="A49" s="23">
        <v>46221</v>
      </c>
      <c r="B49" s="7">
        <f>IF(A49="","",INT((A49-Settings!$B$4)/7)+1)</f>
        <v>1</v>
      </c>
      <c r="C49" s="3" t="inlineStr">
        <v>Strength</v>
      </c>
      <c r="D49" s="11" t="inlineStr">
        <v xml:space="preserve">Full-Body Gym</v>
      </c>
      <c r="E49" s="7" t="inlineStr">
        <v xml:space="preserve">Lat Flight</v>
      </c>
      <c r="F49" s="9">
        <v>1</v>
      </c>
      <c r="G49" s="26">
        <v>9</v>
      </c>
      <c r="H49" s="9">
        <v>12</v>
      </c>
      <c r="I49" s="42"/>
      <c r="J49" s="41"/>
      <c r="K49" s="26">
        <v>6.5</v>
      </c>
      <c r="L49" s="26">
        <f>IF(OR(G49="",H49=""),"",G49*H49)</f>
        <v>108</v>
      </c>
      <c r="M49" s="26"/>
      <c r="N49" s="25"/>
      <c r="O49" s="8"/>
    </row>
    <row r="50">
      <c r="A50" s="23">
        <v>46221</v>
      </c>
      <c r="B50" s="7">
        <f>IF(A50="","",INT((A50-Settings!$B$4)/7)+1)</f>
        <v>1</v>
      </c>
      <c r="C50" s="3" t="inlineStr">
        <v>Strength</v>
      </c>
      <c r="D50" s="7" t="inlineStr">
        <v xml:space="preserve">Full-Body Gym</v>
      </c>
      <c r="E50" s="7" t="inlineStr">
        <v xml:space="preserve">Lat Flight</v>
      </c>
      <c r="F50" s="9">
        <v>2</v>
      </c>
      <c r="G50" s="26">
        <v>12</v>
      </c>
      <c r="H50" s="9">
        <v>12</v>
      </c>
      <c r="I50" s="42"/>
      <c r="J50" s="41"/>
      <c r="K50" s="26">
        <v>7.5</v>
      </c>
      <c r="L50" s="26">
        <f>IF(OR(G50="",H50=""),"",G50*H50)</f>
        <v>144</v>
      </c>
      <c r="M50" s="26"/>
      <c r="N50" s="25"/>
      <c r="O50" s="8"/>
    </row>
    <row r="51">
      <c r="A51" s="23">
        <v>46221</v>
      </c>
      <c r="B51" s="7">
        <f>IF(A51="","",INT((A51-Settings!$B$4)/7)+1)</f>
        <v>1</v>
      </c>
      <c r="C51" s="3" t="inlineStr">
        <v>Strength</v>
      </c>
      <c r="D51" s="7" t="inlineStr">
        <v xml:space="preserve">Full-Body Gym</v>
      </c>
      <c r="E51" s="7" t="inlineStr">
        <v xml:space="preserve">Lat Flight</v>
      </c>
      <c r="F51" s="9">
        <v>3</v>
      </c>
      <c r="G51" s="26">
        <v>19</v>
      </c>
      <c r="H51" s="9">
        <v>12</v>
      </c>
      <c r="I51" s="42"/>
      <c r="J51" s="41"/>
      <c r="K51" s="26">
        <v>8.5</v>
      </c>
      <c r="L51" s="26">
        <f>IF(OR(G51="",H51=""),"",G51*H51)</f>
        <v>228</v>
      </c>
      <c r="M51" s="26"/>
      <c r="N51" s="25"/>
      <c r="O51" s="8"/>
    </row>
    <row r="52">
      <c r="A52" s="23">
        <v>46221</v>
      </c>
      <c r="B52" s="7">
        <f>IF(A52="","",INT((A52-Settings!$B$4)/7)+1)</f>
        <v>1</v>
      </c>
      <c r="C52" s="3" t="inlineStr">
        <v>Strength</v>
      </c>
      <c r="D52" s="7" t="inlineStr">
        <v xml:space="preserve">Full-Body Gym</v>
      </c>
      <c r="E52" s="7" t="inlineStr">
        <v xml:space="preserve">Lat Flight</v>
      </c>
      <c r="F52" s="9">
        <v>4</v>
      </c>
      <c r="G52" s="26">
        <v>9</v>
      </c>
      <c r="H52" s="9">
        <v>12</v>
      </c>
      <c r="I52" s="42"/>
      <c r="J52" s="41"/>
      <c r="K52" s="26">
        <v>8</v>
      </c>
      <c r="L52" s="26">
        <f>IF(OR(G52="",H52=""),"",G52*H52)</f>
        <v>108</v>
      </c>
      <c r="M52" s="26"/>
      <c r="N52" s="25"/>
      <c r="O52" s="8"/>
    </row>
    <row r="53">
      <c r="A53" s="23">
        <v>46221</v>
      </c>
      <c r="B53" s="7">
        <f>IF(A53="","",INT((A53-Settings!$B$4)/7)+1)</f>
        <v>1</v>
      </c>
      <c r="C53" s="7" t="inlineStr">
        <v>Benchmark</v>
      </c>
      <c r="D53" s="7" t="inlineStr">
        <v xml:space="preserve">Murph Lite</v>
      </c>
      <c r="E53" s="7" t="inlineStr">
        <v xml:space="preserve">Workout Total</v>
      </c>
      <c r="F53" s="9">
        <v>1</v>
      </c>
      <c r="G53" s="26"/>
      <c r="H53" s="9"/>
      <c r="I53" s="42">
        <v>0.80000000000000004</v>
      </c>
      <c r="J53" s="41">
        <v>8.0555555555555554e-003</v>
      </c>
      <c r="K53" s="26">
        <v>9</v>
      </c>
      <c r="L53" s="26">
        <f>IF(OR(G53="",H53=""),"",G53*H53)</f>
      </c>
      <c r="M53" s="26">
        <v>60</v>
      </c>
      <c r="N53" s="25" t="inlineStr">
        <v xml:space="preserve">400 m run + 25 pull-ups + 50 push-ups + 50 air squats + 400 m run</v>
      </c>
      <c r="O53" s="8"/>
    </row>
    <row r="54">
      <c r="A54" s="23">
        <v>46221</v>
      </c>
      <c r="B54" s="7">
        <f>IF(A54="","",INT((A54-Settings!$B$4)/7)+1)</f>
        <v>1</v>
      </c>
      <c r="C54" s="7" t="inlineStr">
        <v>Benchmark</v>
      </c>
      <c r="D54" s="7" t="inlineStr">
        <v xml:space="preserve">Murph Lite</v>
      </c>
      <c r="E54" s="7" t="inlineStr">
        <v>Pull-Ups</v>
      </c>
      <c r="F54" s="9">
        <v>1</v>
      </c>
      <c r="G54" s="26"/>
      <c r="H54" s="9">
        <v>25</v>
      </c>
      <c r="I54" s="42"/>
      <c r="J54" s="41"/>
      <c r="K54" s="26">
        <v>9</v>
      </c>
      <c r="L54" s="26">
        <f>IF(OR(G54="",H54=""),"",G54*H54)</f>
      </c>
      <c r="M54" s="26">
        <v>60</v>
      </c>
      <c r="N54" s="25"/>
      <c r="O54" s="8"/>
    </row>
    <row r="55">
      <c r="A55" s="23">
        <v>46221</v>
      </c>
      <c r="B55" s="7">
        <f>IF(A55="","",INT((A55-Settings!$B$4)/7)+1)</f>
        <v>1</v>
      </c>
      <c r="C55" s="7" t="inlineStr">
        <v>Benchmark</v>
      </c>
      <c r="D55" s="7" t="inlineStr">
        <v xml:space="preserve">Murph Lite</v>
      </c>
      <c r="E55" s="7" t="inlineStr">
        <v>Push-Ups</v>
      </c>
      <c r="F55" s="9">
        <v>1</v>
      </c>
      <c r="G55" s="26"/>
      <c r="H55" s="9">
        <v>50</v>
      </c>
      <c r="I55" s="42"/>
      <c r="J55" s="41"/>
      <c r="K55" s="26">
        <v>9</v>
      </c>
      <c r="L55" s="26">
        <f>IF(OR(G55="",H55=""),"",G55*H55)</f>
      </c>
      <c r="M55" s="26">
        <v>60</v>
      </c>
      <c r="N55" s="25"/>
      <c r="O55" s="8"/>
    </row>
    <row r="56">
      <c r="A56" s="23">
        <v>46221</v>
      </c>
      <c r="B56" s="7">
        <f>IF(A56="","",INT((A56-Settings!$B$4)/7)+1)</f>
        <v>1</v>
      </c>
      <c r="C56" s="7" t="inlineStr">
        <v>Benchmark</v>
      </c>
      <c r="D56" s="7" t="inlineStr">
        <v xml:space="preserve">Murph Lite</v>
      </c>
      <c r="E56" s="7" t="inlineStr">
        <v xml:space="preserve">Air Squats</v>
      </c>
      <c r="F56" s="9">
        <v>1</v>
      </c>
      <c r="G56" s="26"/>
      <c r="H56" s="9">
        <v>50</v>
      </c>
      <c r="I56" s="42"/>
      <c r="J56" s="41"/>
      <c r="K56" s="26">
        <v>9</v>
      </c>
      <c r="L56" s="26">
        <f>IF(OR(G56="",H56=""),"",G56*H56)</f>
      </c>
      <c r="M56" s="26">
        <v>60</v>
      </c>
      <c r="N56" s="25"/>
      <c r="O56" s="8"/>
    </row>
    <row r="57">
      <c r="A57" s="23"/>
      <c r="B57" s="7">
        <f>IF(A57="","",INT((A57-Settings!$B$4)/7)+1)</f>
      </c>
      <c r="C57" s="7"/>
      <c r="D57" s="7"/>
      <c r="E57" s="7"/>
      <c r="F57" s="9"/>
      <c r="G57" s="26"/>
      <c r="H57" s="9"/>
      <c r="I57" s="42"/>
      <c r="J57" s="41"/>
      <c r="K57" s="26"/>
      <c r="L57" s="26">
        <f>IF(OR(G57="",H57=""),"",G57*H57)</f>
      </c>
      <c r="M57" s="26"/>
      <c r="N57" s="25"/>
      <c r="O57" s="8"/>
    </row>
    <row r="58">
      <c r="A58" s="23"/>
      <c r="B58" s="7">
        <f>IF(A58="","",INT((A58-Settings!$B$4)/7)+1)</f>
      </c>
      <c r="C58" s="7"/>
      <c r="D58" s="7"/>
      <c r="E58" s="7"/>
      <c r="F58" s="9"/>
      <c r="G58" s="26"/>
      <c r="H58" s="9"/>
      <c r="I58" s="42"/>
      <c r="J58" s="41"/>
      <c r="K58" s="26"/>
      <c r="L58" s="26">
        <f>IF(OR(G58="",H58=""),"",G58*H58)</f>
      </c>
      <c r="M58" s="26"/>
      <c r="N58" s="25"/>
      <c r="O58" s="8"/>
    </row>
    <row r="59">
      <c r="A59" s="23"/>
      <c r="B59" s="7">
        <f>IF(A59="","",INT((A59-Settings!$B$4)/7)+1)</f>
      </c>
      <c r="C59" s="7"/>
      <c r="D59" s="7"/>
      <c r="E59" s="7"/>
      <c r="F59" s="9"/>
      <c r="G59" s="26"/>
      <c r="H59" s="9"/>
      <c r="I59" s="42"/>
      <c r="J59" s="41"/>
      <c r="K59" s="26"/>
      <c r="L59" s="26">
        <f>IF(OR(G59="",H59=""),"",G59*H59)</f>
      </c>
      <c r="M59" s="26"/>
      <c r="N59" s="25"/>
      <c r="O59" s="8"/>
    </row>
    <row r="60">
      <c r="A60" s="23"/>
      <c r="B60" s="7">
        <f>IF(A60="","",INT((A60-Settings!$B$4)/7)+1)</f>
      </c>
      <c r="C60" s="7"/>
      <c r="D60" s="7"/>
      <c r="E60" s="7"/>
      <c r="F60" s="9"/>
      <c r="G60" s="26"/>
      <c r="H60" s="9"/>
      <c r="I60" s="42"/>
      <c r="J60" s="41"/>
      <c r="K60" s="26"/>
      <c r="L60" s="26">
        <f>IF(OR(G60="",H60=""),"",G60*H60)</f>
      </c>
      <c r="M60" s="26"/>
      <c r="N60" s="25"/>
      <c r="O60" s="8"/>
    </row>
    <row r="61">
      <c r="A61" s="23"/>
      <c r="B61" s="7">
        <f>IF(A61="","",INT((A61-Settings!$B$4)/7)+1)</f>
      </c>
      <c r="C61" s="7"/>
      <c r="D61" s="7"/>
      <c r="E61" s="7"/>
      <c r="F61" s="9"/>
      <c r="G61" s="26"/>
      <c r="H61" s="9"/>
      <c r="I61" s="42"/>
      <c r="J61" s="41"/>
      <c r="K61" s="26"/>
      <c r="L61" s="26">
        <f>IF(OR(G61="",H61=""),"",G61*H61)</f>
      </c>
      <c r="M61" s="26"/>
      <c r="N61" s="25"/>
      <c r="O61" s="8"/>
    </row>
    <row r="62">
      <c r="A62" s="23"/>
      <c r="B62" s="7">
        <f>IF(A62="","",INT((A62-Settings!$B$4)/7)+1)</f>
      </c>
      <c r="C62" s="7"/>
      <c r="D62" s="7"/>
      <c r="E62" s="7"/>
      <c r="F62" s="9"/>
      <c r="G62" s="26"/>
      <c r="H62" s="9"/>
      <c r="I62" s="42"/>
      <c r="J62" s="41"/>
      <c r="K62" s="26"/>
      <c r="L62" s="26">
        <f>IF(OR(G62="",H62=""),"",G62*H62)</f>
      </c>
      <c r="M62" s="26"/>
      <c r="N62" s="25"/>
      <c r="O62" s="8"/>
    </row>
    <row r="63">
      <c r="A63" s="23"/>
      <c r="B63" s="7">
        <f>IF(A63="","",INT((A63-Settings!$B$4)/7)+1)</f>
      </c>
      <c r="C63" s="7"/>
      <c r="D63" s="7"/>
      <c r="E63" s="7"/>
      <c r="F63" s="9"/>
      <c r="G63" s="26"/>
      <c r="H63" s="9"/>
      <c r="I63" s="42"/>
      <c r="J63" s="41"/>
      <c r="K63" s="26"/>
      <c r="L63" s="26">
        <f>IF(OR(G63="",H63=""),"",G63*H63)</f>
      </c>
      <c r="M63" s="26"/>
      <c r="N63" s="25"/>
      <c r="O63" s="8"/>
    </row>
    <row r="64">
      <c r="A64" s="23"/>
      <c r="B64" s="7">
        <f>IF(A64="","",INT((A64-Settings!$B$4)/7)+1)</f>
      </c>
      <c r="C64" s="7"/>
      <c r="D64" s="7"/>
      <c r="E64" s="7"/>
      <c r="F64" s="9"/>
      <c r="G64" s="26"/>
      <c r="H64" s="9"/>
      <c r="I64" s="42"/>
      <c r="J64" s="41"/>
      <c r="K64" s="26"/>
      <c r="L64" s="26">
        <f>IF(OR(G64="",H64=""),"",G64*H64)</f>
      </c>
      <c r="M64" s="26"/>
      <c r="N64" s="25"/>
      <c r="O64" s="8"/>
    </row>
    <row r="65">
      <c r="A65" s="23"/>
      <c r="B65" s="7">
        <f>IF(A65="","",INT((A65-Settings!$B$4)/7)+1)</f>
      </c>
      <c r="C65" s="7"/>
      <c r="D65" s="7"/>
      <c r="E65" s="7"/>
      <c r="F65" s="9"/>
      <c r="G65" s="26"/>
      <c r="H65" s="9"/>
      <c r="I65" s="42"/>
      <c r="J65" s="41"/>
      <c r="K65" s="26"/>
      <c r="L65" s="26">
        <f>IF(OR(G65="",H65=""),"",G65*H65)</f>
      </c>
      <c r="M65" s="26"/>
      <c r="N65" s="25"/>
      <c r="O65" s="8"/>
    </row>
    <row r="66">
      <c r="A66" s="23"/>
      <c r="B66" s="7">
        <f>IF(A66="","",INT((A66-Settings!$B$4)/7)+1)</f>
      </c>
      <c r="C66" s="7"/>
      <c r="D66" s="7"/>
      <c r="E66" s="7"/>
      <c r="F66" s="9"/>
      <c r="G66" s="26"/>
      <c r="H66" s="9"/>
      <c r="I66" s="42"/>
      <c r="J66" s="41"/>
      <c r="K66" s="26"/>
      <c r="L66" s="26">
        <f>IF(OR(G66="",H66=""),"",G66*H66)</f>
      </c>
      <c r="M66" s="26"/>
      <c r="N66" s="25"/>
      <c r="O66" s="8"/>
    </row>
    <row r="67">
      <c r="A67" s="23"/>
      <c r="B67" s="7">
        <f>IF(A67="","",INT((A67-Settings!$B$4)/7)+1)</f>
      </c>
      <c r="C67" s="7"/>
      <c r="D67" s="7"/>
      <c r="E67" s="7"/>
      <c r="F67" s="9"/>
      <c r="G67" s="26"/>
      <c r="H67" s="9"/>
      <c r="I67" s="42"/>
      <c r="J67" s="41"/>
      <c r="K67" s="26"/>
      <c r="L67" s="26">
        <f>IF(OR(G67="",H67=""),"",G67*H67)</f>
      </c>
      <c r="M67" s="26"/>
      <c r="N67" s="25"/>
      <c r="O67" s="8"/>
    </row>
    <row r="68">
      <c r="A68" s="23"/>
      <c r="B68" s="7">
        <f>IF(A68="","",INT((A68-Settings!$B$4)/7)+1)</f>
      </c>
      <c r="C68" s="7"/>
      <c r="D68" s="7"/>
      <c r="E68" s="7"/>
      <c r="F68" s="9"/>
      <c r="G68" s="26"/>
      <c r="H68" s="9"/>
      <c r="I68" s="42"/>
      <c r="J68" s="41"/>
      <c r="K68" s="26"/>
      <c r="L68" s="26">
        <f>IF(OR(G68="",H68=""),"",G68*H68)</f>
      </c>
      <c r="M68" s="26"/>
      <c r="N68" s="25"/>
      <c r="O68" s="8"/>
    </row>
    <row r="69">
      <c r="A69" s="23"/>
      <c r="B69" s="7">
        <f>IF(A69="","",INT((A69-Settings!$B$4)/7)+1)</f>
      </c>
      <c r="C69" s="7"/>
      <c r="D69" s="7"/>
      <c r="E69" s="7"/>
      <c r="F69" s="9"/>
      <c r="G69" s="26"/>
      <c r="H69" s="9"/>
      <c r="I69" s="42"/>
      <c r="J69" s="41"/>
      <c r="K69" s="26"/>
      <c r="L69" s="26">
        <f>IF(OR(G69="",H69=""),"",G69*H69)</f>
      </c>
      <c r="M69" s="26"/>
      <c r="N69" s="25"/>
      <c r="O69" s="8"/>
    </row>
    <row r="70">
      <c r="A70" s="23"/>
      <c r="B70" s="7">
        <f>IF(A70="","",INT((A70-Settings!$B$4)/7)+1)</f>
      </c>
      <c r="C70" s="7"/>
      <c r="D70" s="7"/>
      <c r="E70" s="7"/>
      <c r="F70" s="9"/>
      <c r="G70" s="26"/>
      <c r="H70" s="9"/>
      <c r="I70" s="42"/>
      <c r="J70" s="41"/>
      <c r="K70" s="26"/>
      <c r="L70" s="26">
        <f>IF(OR(G70="",H70=""),"",G70*H70)</f>
      </c>
      <c r="M70" s="26"/>
      <c r="N70" s="25"/>
      <c r="O70" s="8"/>
    </row>
    <row r="71">
      <c r="A71" s="23"/>
      <c r="B71" s="7">
        <f>IF(A71="","",INT((A71-Settings!$B$4)/7)+1)</f>
      </c>
      <c r="C71" s="7"/>
      <c r="D71" s="7"/>
      <c r="E71" s="7"/>
      <c r="F71" s="9"/>
      <c r="G71" s="26"/>
      <c r="H71" s="9"/>
      <c r="I71" s="42"/>
      <c r="J71" s="41"/>
      <c r="K71" s="26"/>
      <c r="L71" s="26">
        <f>IF(OR(G71="",H71=""),"",G71*H71)</f>
      </c>
      <c r="M71" s="26"/>
      <c r="N71" s="25"/>
      <c r="O71" s="8"/>
    </row>
    <row r="72">
      <c r="A72" s="23"/>
      <c r="B72" s="7">
        <f>IF(A72="","",INT((A72-Settings!$B$4)/7)+1)</f>
      </c>
      <c r="C72" s="7"/>
      <c r="D72" s="7"/>
      <c r="E72" s="7"/>
      <c r="F72" s="9"/>
      <c r="G72" s="26"/>
      <c r="H72" s="9"/>
      <c r="I72" s="42"/>
      <c r="J72" s="41"/>
      <c r="K72" s="26"/>
      <c r="L72" s="26">
        <f>IF(OR(G72="",H72=""),"",G72*H72)</f>
      </c>
      <c r="M72" s="26"/>
      <c r="N72" s="25"/>
      <c r="O72" s="8"/>
    </row>
    <row r="73">
      <c r="A73" s="23"/>
      <c r="B73" s="7">
        <f>IF(A73="","",INT((A73-Settings!$B$4)/7)+1)</f>
      </c>
      <c r="C73" s="7"/>
      <c r="D73" s="7"/>
      <c r="E73" s="7"/>
      <c r="F73" s="9"/>
      <c r="G73" s="26"/>
      <c r="H73" s="9"/>
      <c r="I73" s="42"/>
      <c r="J73" s="41"/>
      <c r="K73" s="26"/>
      <c r="L73" s="26">
        <f>IF(OR(G73="",H73=""),"",G73*H73)</f>
      </c>
      <c r="M73" s="26"/>
      <c r="N73" s="25"/>
      <c r="O73" s="8"/>
    </row>
    <row r="74">
      <c r="A74" s="23"/>
      <c r="B74" s="7">
        <f>IF(A74="","",INT((A74-Settings!$B$4)/7)+1)</f>
      </c>
      <c r="C74" s="7"/>
      <c r="D74" s="7"/>
      <c r="E74" s="7"/>
      <c r="F74" s="9"/>
      <c r="G74" s="26"/>
      <c r="H74" s="9"/>
      <c r="I74" s="42"/>
      <c r="J74" s="41"/>
      <c r="K74" s="26"/>
      <c r="L74" s="26">
        <f>IF(OR(G74="",H74=""),"",G74*H74)</f>
      </c>
      <c r="M74" s="26"/>
      <c r="N74" s="25"/>
      <c r="O74" s="8"/>
    </row>
    <row r="75">
      <c r="A75" s="23"/>
      <c r="B75" s="7">
        <f>IF(A75="","",INT((A75-Settings!$B$4)/7)+1)</f>
      </c>
      <c r="C75" s="7"/>
      <c r="D75" s="7"/>
      <c r="E75" s="7"/>
      <c r="F75" s="9"/>
      <c r="G75" s="26"/>
      <c r="H75" s="9"/>
      <c r="I75" s="42"/>
      <c r="J75" s="41"/>
      <c r="K75" s="26"/>
      <c r="L75" s="26">
        <f>IF(OR(G75="",H75=""),"",G75*H75)</f>
      </c>
      <c r="M75" s="26"/>
      <c r="N75" s="25"/>
      <c r="O75" s="8"/>
    </row>
    <row r="76">
      <c r="A76" s="23"/>
      <c r="B76" s="7">
        <f>IF(A76="","",INT((A76-Settings!$B$4)/7)+1)</f>
      </c>
      <c r="C76" s="7"/>
      <c r="D76" s="7"/>
      <c r="E76" s="7"/>
      <c r="F76" s="9"/>
      <c r="G76" s="26"/>
      <c r="H76" s="9"/>
      <c r="I76" s="42"/>
      <c r="J76" s="41"/>
      <c r="K76" s="26"/>
      <c r="L76" s="26">
        <f>IF(OR(G76="",H76=""),"",G76*H76)</f>
      </c>
      <c r="M76" s="26"/>
      <c r="N76" s="25"/>
      <c r="O76" s="8"/>
    </row>
    <row r="77">
      <c r="A77" s="23"/>
      <c r="B77" s="7">
        <f>IF(A77="","",INT((A77-Settings!$B$4)/7)+1)</f>
      </c>
      <c r="C77" s="7"/>
      <c r="D77" s="7"/>
      <c r="E77" s="7"/>
      <c r="F77" s="9"/>
      <c r="G77" s="26"/>
      <c r="H77" s="9"/>
      <c r="I77" s="42"/>
      <c r="J77" s="41"/>
      <c r="K77" s="26"/>
      <c r="L77" s="26">
        <f>IF(OR(G77="",H77=""),"",G77*H77)</f>
      </c>
      <c r="M77" s="26"/>
      <c r="N77" s="25"/>
      <c r="O77" s="8"/>
    </row>
    <row r="78">
      <c r="A78" s="23"/>
      <c r="B78" s="7">
        <f>IF(A78="","",INT((A78-Settings!$B$4)/7)+1)</f>
      </c>
      <c r="C78" s="7"/>
      <c r="D78" s="7"/>
      <c r="E78" s="7"/>
      <c r="F78" s="9"/>
      <c r="G78" s="26"/>
      <c r="H78" s="9"/>
      <c r="I78" s="42"/>
      <c r="J78" s="41"/>
      <c r="K78" s="26"/>
      <c r="L78" s="26">
        <f>IF(OR(G78="",H78=""),"",G78*H78)</f>
      </c>
      <c r="M78" s="26"/>
      <c r="N78" s="25"/>
      <c r="O78" s="8"/>
    </row>
    <row r="79">
      <c r="A79" s="23"/>
      <c r="B79" s="7">
        <f>IF(A79="","",INT((A79-Settings!$B$4)/7)+1)</f>
      </c>
      <c r="C79" s="7"/>
      <c r="D79" s="7"/>
      <c r="E79" s="7"/>
      <c r="F79" s="9"/>
      <c r="G79" s="26"/>
      <c r="H79" s="9"/>
      <c r="I79" s="42"/>
      <c r="J79" s="41"/>
      <c r="K79" s="26"/>
      <c r="L79" s="26">
        <f>IF(OR(G79="",H79=""),"",G79*H79)</f>
      </c>
      <c r="M79" s="26"/>
      <c r="N79" s="25"/>
      <c r="O79" s="8"/>
    </row>
    <row r="80">
      <c r="A80" s="23"/>
      <c r="B80" s="7">
        <f>IF(A80="","",INT((A80-Settings!$B$4)/7)+1)</f>
      </c>
      <c r="C80" s="7"/>
      <c r="D80" s="7"/>
      <c r="E80" s="7"/>
      <c r="F80" s="9"/>
      <c r="G80" s="26"/>
      <c r="H80" s="9"/>
      <c r="I80" s="42"/>
      <c r="J80" s="41"/>
      <c r="K80" s="26"/>
      <c r="L80" s="26">
        <f>IF(OR(G80="",H80=""),"",G80*H80)</f>
      </c>
      <c r="M80" s="26"/>
      <c r="N80" s="25"/>
      <c r="O80" s="8"/>
    </row>
    <row r="81">
      <c r="A81" s="23"/>
      <c r="B81" s="7">
        <f>IF(A81="","",INT((A81-Settings!$B$4)/7)+1)</f>
      </c>
      <c r="C81" s="7"/>
      <c r="D81" s="7"/>
      <c r="E81" s="7"/>
      <c r="F81" s="9"/>
      <c r="G81" s="26"/>
      <c r="H81" s="9"/>
      <c r="I81" s="42"/>
      <c r="J81" s="41"/>
      <c r="K81" s="26"/>
      <c r="L81" s="26">
        <f>IF(OR(G81="",H81=""),"",G81*H81)</f>
      </c>
      <c r="M81" s="26"/>
      <c r="N81" s="25"/>
      <c r="O81" s="8"/>
    </row>
    <row r="82">
      <c r="A82" s="23"/>
      <c r="B82" s="7">
        <f>IF(A82="","",INT((A82-Settings!$B$4)/7)+1)</f>
      </c>
      <c r="C82" s="7"/>
      <c r="D82" s="7"/>
      <c r="E82" s="7"/>
      <c r="F82" s="9"/>
      <c r="G82" s="26"/>
      <c r="H82" s="9"/>
      <c r="I82" s="42"/>
      <c r="J82" s="41"/>
      <c r="K82" s="26"/>
      <c r="L82" s="26">
        <f>IF(OR(G82="",H82=""),"",G82*H82)</f>
      </c>
      <c r="M82" s="26"/>
      <c r="N82" s="25"/>
      <c r="O82" s="8"/>
    </row>
    <row r="83">
      <c r="A83" s="23"/>
      <c r="B83" s="7">
        <f>IF(A83="","",INT((A83-Settings!$B$4)/7)+1)</f>
      </c>
      <c r="C83" s="7"/>
      <c r="D83" s="7"/>
      <c r="E83" s="7"/>
      <c r="F83" s="9"/>
      <c r="G83" s="26"/>
      <c r="H83" s="9"/>
      <c r="I83" s="42"/>
      <c r="J83" s="41"/>
      <c r="K83" s="26"/>
      <c r="L83" s="26">
        <f>IF(OR(G83="",H83=""),"",G83*H83)</f>
      </c>
      <c r="M83" s="26"/>
      <c r="N83" s="25"/>
      <c r="O83" s="8"/>
    </row>
    <row r="84">
      <c r="A84" s="23"/>
      <c r="B84" s="7">
        <f>IF(A84="","",INT((A84-Settings!$B$4)/7)+1)</f>
      </c>
      <c r="C84" s="7"/>
      <c r="D84" s="7"/>
      <c r="E84" s="7"/>
      <c r="F84" s="9"/>
      <c r="G84" s="26"/>
      <c r="H84" s="9"/>
      <c r="I84" s="42"/>
      <c r="J84" s="41"/>
      <c r="K84" s="26"/>
      <c r="L84" s="26">
        <f>IF(OR(G84="",H84=""),"",G84*H84)</f>
      </c>
      <c r="M84" s="26"/>
      <c r="N84" s="25"/>
      <c r="O84" s="8"/>
    </row>
    <row r="85">
      <c r="A85" s="23"/>
      <c r="B85" s="7">
        <f>IF(A85="","",INT((A85-Settings!$B$4)/7)+1)</f>
      </c>
      <c r="C85" s="7"/>
      <c r="D85" s="7"/>
      <c r="E85" s="7"/>
      <c r="F85" s="9"/>
      <c r="G85" s="26"/>
      <c r="H85" s="9"/>
      <c r="I85" s="42"/>
      <c r="J85" s="41"/>
      <c r="K85" s="26"/>
      <c r="L85" s="26">
        <f>IF(OR(G85="",H85=""),"",G85*H85)</f>
      </c>
      <c r="M85" s="26"/>
      <c r="N85" s="25"/>
      <c r="O85" s="8"/>
    </row>
    <row r="86">
      <c r="A86" s="23"/>
      <c r="B86" s="7">
        <f>IF(A86="","",INT((A86-Settings!$B$4)/7)+1)</f>
      </c>
      <c r="C86" s="7"/>
      <c r="D86" s="7"/>
      <c r="E86" s="7"/>
      <c r="F86" s="9"/>
      <c r="G86" s="26"/>
      <c r="H86" s="9"/>
      <c r="I86" s="42"/>
      <c r="J86" s="41"/>
      <c r="K86" s="26"/>
      <c r="L86" s="26">
        <f>IF(OR(G86="",H86=""),"",G86*H86)</f>
      </c>
      <c r="M86" s="26"/>
      <c r="N86" s="25"/>
      <c r="O86" s="8"/>
    </row>
    <row r="87">
      <c r="A87" s="23"/>
      <c r="B87" s="7">
        <f>IF(A87="","",INT((A87-Settings!$B$4)/7)+1)</f>
      </c>
      <c r="C87" s="7"/>
      <c r="D87" s="7"/>
      <c r="E87" s="7"/>
      <c r="F87" s="9"/>
      <c r="G87" s="26"/>
      <c r="H87" s="9"/>
      <c r="I87" s="42"/>
      <c r="J87" s="41"/>
      <c r="K87" s="26"/>
      <c r="L87" s="26">
        <f>IF(OR(G87="",H87=""),"",G87*H87)</f>
      </c>
      <c r="M87" s="26"/>
      <c r="N87" s="25"/>
      <c r="O87" s="8"/>
    </row>
    <row r="88">
      <c r="A88" s="23"/>
      <c r="B88" s="7">
        <f>IF(A88="","",INT((A88-Settings!$B$4)/7)+1)</f>
      </c>
      <c r="C88" s="7"/>
      <c r="D88" s="7"/>
      <c r="E88" s="7"/>
      <c r="F88" s="9"/>
      <c r="G88" s="26"/>
      <c r="H88" s="9"/>
      <c r="I88" s="42"/>
      <c r="J88" s="41"/>
      <c r="K88" s="26"/>
      <c r="L88" s="26">
        <f>IF(OR(G88="",H88=""),"",G88*H88)</f>
      </c>
      <c r="M88" s="26"/>
      <c r="N88" s="25"/>
      <c r="O88" s="8"/>
    </row>
    <row r="89">
      <c r="A89" s="23"/>
      <c r="B89" s="7">
        <f>IF(A89="","",INT((A89-Settings!$B$4)/7)+1)</f>
      </c>
      <c r="C89" s="7"/>
      <c r="D89" s="7"/>
      <c r="E89" s="7"/>
      <c r="F89" s="9"/>
      <c r="G89" s="26"/>
      <c r="H89" s="9"/>
      <c r="I89" s="42"/>
      <c r="J89" s="41"/>
      <c r="K89" s="26"/>
      <c r="L89" s="26">
        <f>IF(OR(G89="",H89=""),"",G89*H89)</f>
      </c>
      <c r="M89" s="26"/>
      <c r="N89" s="25"/>
      <c r="O89" s="8"/>
    </row>
    <row r="90">
      <c r="A90" s="23"/>
      <c r="B90" s="7">
        <f>IF(A90="","",INT((A90-Settings!$B$4)/7)+1)</f>
      </c>
      <c r="C90" s="7"/>
      <c r="D90" s="7"/>
      <c r="E90" s="7"/>
      <c r="F90" s="9"/>
      <c r="G90" s="26"/>
      <c r="H90" s="9"/>
      <c r="I90" s="42"/>
      <c r="J90" s="41"/>
      <c r="K90" s="26"/>
      <c r="L90" s="26">
        <f>IF(OR(G90="",H90=""),"",G90*H90)</f>
      </c>
      <c r="M90" s="26"/>
      <c r="N90" s="25"/>
      <c r="O90" s="8"/>
    </row>
    <row r="91">
      <c r="A91" s="23"/>
      <c r="B91" s="7">
        <f>IF(A91="","",INT((A91-Settings!$B$4)/7)+1)</f>
      </c>
      <c r="C91" s="7"/>
      <c r="D91" s="7"/>
      <c r="E91" s="7"/>
      <c r="F91" s="9"/>
      <c r="G91" s="26"/>
      <c r="H91" s="9"/>
      <c r="I91" s="42"/>
      <c r="J91" s="41"/>
      <c r="K91" s="26"/>
      <c r="L91" s="26">
        <f>IF(OR(G91="",H91=""),"",G91*H91)</f>
      </c>
      <c r="M91" s="26"/>
      <c r="N91" s="25"/>
      <c r="O91" s="8"/>
    </row>
    <row r="92">
      <c r="A92" s="23"/>
      <c r="B92" s="7">
        <f>IF(A92="","",INT((A92-Settings!$B$4)/7)+1)</f>
      </c>
      <c r="C92" s="7"/>
      <c r="D92" s="7"/>
      <c r="E92" s="7"/>
      <c r="F92" s="9"/>
      <c r="G92" s="26"/>
      <c r="H92" s="9"/>
      <c r="I92" s="42"/>
      <c r="J92" s="41"/>
      <c r="K92" s="26"/>
      <c r="L92" s="26">
        <f>IF(OR(G92="",H92=""),"",G92*H92)</f>
      </c>
      <c r="M92" s="26"/>
      <c r="N92" s="25"/>
      <c r="O92" s="8"/>
    </row>
    <row r="93">
      <c r="A93" s="23"/>
      <c r="B93" s="7">
        <f>IF(A93="","",INT((A93-Settings!$B$4)/7)+1)</f>
      </c>
      <c r="C93" s="7"/>
      <c r="D93" s="7"/>
      <c r="E93" s="7"/>
      <c r="F93" s="9"/>
      <c r="G93" s="26"/>
      <c r="H93" s="9"/>
      <c r="I93" s="42"/>
      <c r="J93" s="41"/>
      <c r="K93" s="26"/>
      <c r="L93" s="26">
        <f>IF(OR(G93="",H93=""),"",G93*H93)</f>
      </c>
      <c r="M93" s="26"/>
      <c r="N93" s="25"/>
      <c r="O93" s="8"/>
    </row>
    <row r="94">
      <c r="A94" s="23"/>
      <c r="B94" s="7">
        <f>IF(A94="","",INT((A94-Settings!$B$4)/7)+1)</f>
      </c>
      <c r="C94" s="7"/>
      <c r="D94" s="7"/>
      <c r="E94" s="7"/>
      <c r="F94" s="9"/>
      <c r="G94" s="26"/>
      <c r="H94" s="9"/>
      <c r="I94" s="42"/>
      <c r="J94" s="41"/>
      <c r="K94" s="26"/>
      <c r="L94" s="26">
        <f>IF(OR(G94="",H94=""),"",G94*H94)</f>
      </c>
      <c r="M94" s="26"/>
      <c r="N94" s="25"/>
      <c r="O94" s="8"/>
    </row>
    <row r="95">
      <c r="A95" s="23"/>
      <c r="B95" s="7">
        <f>IF(A95="","",INT((A95-Settings!$B$4)/7)+1)</f>
      </c>
      <c r="C95" s="7"/>
      <c r="D95" s="7"/>
      <c r="E95" s="7"/>
      <c r="F95" s="9"/>
      <c r="G95" s="26"/>
      <c r="H95" s="9"/>
      <c r="I95" s="42"/>
      <c r="J95" s="41"/>
      <c r="K95" s="26"/>
      <c r="L95" s="26">
        <f>IF(OR(G95="",H95=""),"",G95*H95)</f>
      </c>
      <c r="M95" s="26"/>
      <c r="N95" s="25"/>
      <c r="O95" s="8"/>
    </row>
    <row r="96">
      <c r="A96" s="23"/>
      <c r="B96" s="7">
        <f>IF(A96="","",INT((A96-Settings!$B$4)/7)+1)</f>
      </c>
      <c r="C96" s="7"/>
      <c r="D96" s="7"/>
      <c r="E96" s="7"/>
      <c r="F96" s="9"/>
      <c r="G96" s="26"/>
      <c r="H96" s="9"/>
      <c r="I96" s="42"/>
      <c r="J96" s="41"/>
      <c r="K96" s="26"/>
      <c r="L96" s="26">
        <f>IF(OR(G96="",H96=""),"",G96*H96)</f>
      </c>
      <c r="M96" s="26"/>
      <c r="N96" s="25"/>
      <c r="O96" s="8"/>
    </row>
    <row r="97">
      <c r="A97" s="23"/>
      <c r="B97" s="7">
        <f>IF(A97="","",INT((A97-Settings!$B$4)/7)+1)</f>
      </c>
      <c r="C97" s="7"/>
      <c r="D97" s="7"/>
      <c r="E97" s="7"/>
      <c r="F97" s="9"/>
      <c r="G97" s="26"/>
      <c r="H97" s="9"/>
      <c r="I97" s="42"/>
      <c r="J97" s="41"/>
      <c r="K97" s="26"/>
      <c r="L97" s="26">
        <f>IF(OR(G97="",H97=""),"",G97*H97)</f>
      </c>
      <c r="M97" s="26"/>
      <c r="N97" s="25"/>
      <c r="O97" s="8"/>
    </row>
    <row r="98">
      <c r="A98" s="23"/>
      <c r="B98" s="7">
        <f>IF(A98="","",INT((A98-Settings!$B$4)/7)+1)</f>
      </c>
      <c r="C98" s="7"/>
      <c r="D98" s="7"/>
      <c r="E98" s="7"/>
      <c r="F98" s="9"/>
      <c r="G98" s="26"/>
      <c r="H98" s="9"/>
      <c r="I98" s="42"/>
      <c r="J98" s="41"/>
      <c r="K98" s="26"/>
      <c r="L98" s="26">
        <f>IF(OR(G98="",H98=""),"",G98*H98)</f>
      </c>
      <c r="M98" s="26"/>
      <c r="N98" s="25"/>
      <c r="O98" s="8"/>
    </row>
    <row r="99">
      <c r="A99" s="23"/>
      <c r="B99" s="7">
        <f>IF(A99="","",INT((A99-Settings!$B$4)/7)+1)</f>
      </c>
      <c r="C99" s="7"/>
      <c r="D99" s="7"/>
      <c r="E99" s="7"/>
      <c r="F99" s="9"/>
      <c r="G99" s="26"/>
      <c r="H99" s="9"/>
      <c r="I99" s="42"/>
      <c r="J99" s="41"/>
      <c r="K99" s="26"/>
      <c r="L99" s="26">
        <f>IF(OR(G99="",H99=""),"",G99*H99)</f>
      </c>
      <c r="M99" s="26"/>
      <c r="N99" s="25"/>
      <c r="O99" s="8"/>
    </row>
    <row r="100">
      <c r="A100" s="23"/>
      <c r="B100" s="7">
        <f>IF(A100="","",INT((A100-Settings!$B$4)/7)+1)</f>
      </c>
      <c r="C100" s="7"/>
      <c r="D100" s="7"/>
      <c r="E100" s="7"/>
      <c r="F100" s="9"/>
      <c r="G100" s="26"/>
      <c r="H100" s="9"/>
      <c r="I100" s="42"/>
      <c r="J100" s="41"/>
      <c r="K100" s="26"/>
      <c r="L100" s="26">
        <f>IF(OR(G100="",H100=""),"",G100*H100)</f>
      </c>
      <c r="M100" s="26"/>
      <c r="N100" s="25"/>
      <c r="O100" s="8"/>
    </row>
    <row r="101">
      <c r="A101" s="23"/>
      <c r="B101" s="7">
        <f>IF(A101="","",INT((A101-Settings!$B$4)/7)+1)</f>
      </c>
      <c r="C101" s="7"/>
      <c r="D101" s="7"/>
      <c r="E101" s="7"/>
      <c r="F101" s="9"/>
      <c r="G101" s="26"/>
      <c r="H101" s="9"/>
      <c r="I101" s="42"/>
      <c r="J101" s="41"/>
      <c r="K101" s="26"/>
      <c r="L101" s="26">
        <f>IF(OR(G101="",H101=""),"",G101*H101)</f>
      </c>
      <c r="M101" s="26"/>
      <c r="N101" s="25"/>
      <c r="O101" s="8"/>
    </row>
    <row r="102">
      <c r="A102" s="23"/>
      <c r="B102" s="7">
        <f>IF(A102="","",INT((A102-Settings!$B$4)/7)+1)</f>
      </c>
      <c r="C102" s="7"/>
      <c r="D102" s="7"/>
      <c r="E102" s="7"/>
      <c r="F102" s="9"/>
      <c r="G102" s="26"/>
      <c r="H102" s="9"/>
      <c r="I102" s="42"/>
      <c r="J102" s="41"/>
      <c r="K102" s="26"/>
      <c r="L102" s="26">
        <f>IF(OR(G102="",H102=""),"",G102*H102)</f>
      </c>
      <c r="M102" s="26"/>
      <c r="N102" s="25"/>
      <c r="O102" s="8"/>
    </row>
    <row r="103">
      <c r="A103" s="23"/>
      <c r="B103" s="7">
        <f>IF(A103="","",INT((A103-Settings!$B$4)/7)+1)</f>
      </c>
      <c r="C103" s="7"/>
      <c r="D103" s="7"/>
      <c r="E103" s="7"/>
      <c r="F103" s="9"/>
      <c r="G103" s="26"/>
      <c r="H103" s="9"/>
      <c r="I103" s="42"/>
      <c r="J103" s="41"/>
      <c r="K103" s="26"/>
      <c r="L103" s="26">
        <f>IF(OR(G103="",H103=""),"",G103*H103)</f>
      </c>
      <c r="M103" s="26"/>
      <c r="N103" s="25"/>
      <c r="O103" s="8"/>
    </row>
    <row r="104">
      <c r="A104" s="23"/>
      <c r="B104" s="7">
        <f>IF(A104="","",INT((A104-Settings!$B$4)/7)+1)</f>
      </c>
      <c r="C104" s="7"/>
      <c r="D104" s="7"/>
      <c r="E104" s="7"/>
      <c r="F104" s="9"/>
      <c r="G104" s="26"/>
      <c r="H104" s="9"/>
      <c r="I104" s="42"/>
      <c r="J104" s="41"/>
      <c r="K104" s="26"/>
      <c r="L104" s="26">
        <f>IF(OR(G104="",H104=""),"",G104*H104)</f>
      </c>
      <c r="M104" s="26"/>
      <c r="N104" s="25"/>
      <c r="O104" s="8"/>
    </row>
    <row r="105">
      <c r="A105" s="23"/>
      <c r="B105" s="7">
        <f>IF(A105="","",INT((A105-Settings!$B$4)/7)+1)</f>
      </c>
      <c r="C105" s="7"/>
      <c r="D105" s="7"/>
      <c r="E105" s="7"/>
      <c r="F105" s="9"/>
      <c r="G105" s="26"/>
      <c r="H105" s="9"/>
      <c r="I105" s="42"/>
      <c r="J105" s="41"/>
      <c r="K105" s="26"/>
      <c r="L105" s="26">
        <f>IF(OR(G105="",H105=""),"",G105*H105)</f>
      </c>
      <c r="M105" s="26"/>
      <c r="N105" s="25"/>
      <c r="O105" s="8"/>
    </row>
    <row r="106">
      <c r="A106" s="23"/>
      <c r="B106" s="7">
        <f>IF(A106="","",INT((A106-Settings!$B$4)/7)+1)</f>
      </c>
      <c r="C106" s="7"/>
      <c r="D106" s="7"/>
      <c r="E106" s="7"/>
      <c r="F106" s="9"/>
      <c r="G106" s="26"/>
      <c r="H106" s="9"/>
      <c r="I106" s="42"/>
      <c r="J106" s="41"/>
      <c r="K106" s="26"/>
      <c r="L106" s="26">
        <f>IF(OR(G106="",H106=""),"",G106*H106)</f>
      </c>
      <c r="M106" s="26"/>
      <c r="N106" s="25"/>
      <c r="O106" s="8"/>
    </row>
    <row r="107">
      <c r="A107" s="23"/>
      <c r="B107" s="7">
        <f>IF(A107="","",INT((A107-Settings!$B$4)/7)+1)</f>
      </c>
      <c r="C107" s="7"/>
      <c r="D107" s="7"/>
      <c r="E107" s="7"/>
      <c r="F107" s="9"/>
      <c r="G107" s="26"/>
      <c r="H107" s="9"/>
      <c r="I107" s="42"/>
      <c r="J107" s="41"/>
      <c r="K107" s="26"/>
      <c r="L107" s="26">
        <f>IF(OR(G107="",H107=""),"",G107*H107)</f>
      </c>
      <c r="M107" s="26"/>
      <c r="N107" s="25"/>
      <c r="O107" s="8"/>
    </row>
    <row r="108">
      <c r="A108" s="23"/>
      <c r="B108" s="7">
        <f>IF(A108="","",INT((A108-Settings!$B$4)/7)+1)</f>
      </c>
      <c r="C108" s="7"/>
      <c r="D108" s="7"/>
      <c r="E108" s="7"/>
      <c r="F108" s="9"/>
      <c r="G108" s="26"/>
      <c r="H108" s="9"/>
      <c r="I108" s="42"/>
      <c r="J108" s="41"/>
      <c r="K108" s="26"/>
      <c r="L108" s="26">
        <f>IF(OR(G108="",H108=""),"",G108*H108)</f>
      </c>
      <c r="M108" s="26"/>
      <c r="N108" s="25"/>
      <c r="O108" s="8"/>
    </row>
    <row r="109">
      <c r="A109" s="23"/>
      <c r="B109" s="7">
        <f>IF(A109="","",INT((A109-Settings!$B$4)/7)+1)</f>
      </c>
      <c r="C109" s="7"/>
      <c r="D109" s="7"/>
      <c r="E109" s="7"/>
      <c r="F109" s="9"/>
      <c r="G109" s="26"/>
      <c r="H109" s="9"/>
      <c r="I109" s="42"/>
      <c r="J109" s="41"/>
      <c r="K109" s="26"/>
      <c r="L109" s="26">
        <f>IF(OR(G109="",H109=""),"",G109*H109)</f>
      </c>
      <c r="M109" s="26"/>
      <c r="N109" s="25"/>
      <c r="O109" s="8"/>
    </row>
    <row r="110">
      <c r="A110" s="23"/>
      <c r="B110" s="7">
        <f>IF(A110="","",INT((A110-Settings!$B$4)/7)+1)</f>
      </c>
      <c r="C110" s="7"/>
      <c r="D110" s="7"/>
      <c r="E110" s="7"/>
      <c r="F110" s="9"/>
      <c r="G110" s="26"/>
      <c r="H110" s="9"/>
      <c r="I110" s="42"/>
      <c r="J110" s="41"/>
      <c r="K110" s="26"/>
      <c r="L110" s="26">
        <f>IF(OR(G110="",H110=""),"",G110*H110)</f>
      </c>
      <c r="M110" s="26"/>
      <c r="N110" s="25"/>
      <c r="O110" s="8"/>
    </row>
    <row r="111">
      <c r="A111" s="23"/>
      <c r="B111" s="7">
        <f>IF(A111="","",INT((A111-Settings!$B$4)/7)+1)</f>
      </c>
      <c r="C111" s="7"/>
      <c r="D111" s="7"/>
      <c r="E111" s="7"/>
      <c r="F111" s="9"/>
      <c r="G111" s="26"/>
      <c r="H111" s="9"/>
      <c r="I111" s="42"/>
      <c r="J111" s="41"/>
      <c r="K111" s="26"/>
      <c r="L111" s="26">
        <f>IF(OR(G111="",H111=""),"",G111*H111)</f>
      </c>
      <c r="M111" s="26"/>
      <c r="N111" s="25"/>
      <c r="O111" s="8"/>
    </row>
    <row r="112">
      <c r="A112" s="23"/>
      <c r="B112" s="7">
        <f>IF(A112="","",INT((A112-Settings!$B$4)/7)+1)</f>
      </c>
      <c r="C112" s="7"/>
      <c r="D112" s="7"/>
      <c r="E112" s="7"/>
      <c r="F112" s="9"/>
      <c r="G112" s="26"/>
      <c r="H112" s="9"/>
      <c r="I112" s="42"/>
      <c r="J112" s="41"/>
      <c r="K112" s="26"/>
      <c r="L112" s="26">
        <f>IF(OR(G112="",H112=""),"",G112*H112)</f>
      </c>
      <c r="M112" s="26"/>
      <c r="N112" s="25"/>
      <c r="O112" s="8"/>
    </row>
    <row r="113">
      <c r="A113" s="23"/>
      <c r="B113" s="7">
        <f>IF(A113="","",INT((A113-Settings!$B$4)/7)+1)</f>
      </c>
      <c r="C113" s="7"/>
      <c r="D113" s="7"/>
      <c r="E113" s="7"/>
      <c r="F113" s="9"/>
      <c r="G113" s="26"/>
      <c r="H113" s="9"/>
      <c r="I113" s="42"/>
      <c r="J113" s="41"/>
      <c r="K113" s="26"/>
      <c r="L113" s="26">
        <f>IF(OR(G113="",H113=""),"",G113*H113)</f>
      </c>
      <c r="M113" s="26"/>
      <c r="N113" s="25"/>
      <c r="O113" s="8"/>
    </row>
    <row r="114">
      <c r="A114" s="23"/>
      <c r="B114" s="7">
        <f>IF(A114="","",INT((A114-Settings!$B$4)/7)+1)</f>
      </c>
      <c r="C114" s="7"/>
      <c r="D114" s="7"/>
      <c r="E114" s="7"/>
      <c r="F114" s="9"/>
      <c r="G114" s="26"/>
      <c r="H114" s="9"/>
      <c r="I114" s="42"/>
      <c r="J114" s="41"/>
      <c r="K114" s="26"/>
      <c r="L114" s="26">
        <f>IF(OR(G114="",H114=""),"",G114*H114)</f>
      </c>
      <c r="M114" s="26"/>
      <c r="N114" s="25"/>
      <c r="O114" s="8"/>
    </row>
    <row r="115">
      <c r="A115" s="23"/>
      <c r="B115" s="7">
        <f>IF(A115="","",INT((A115-Settings!$B$4)/7)+1)</f>
      </c>
      <c r="C115" s="7"/>
      <c r="D115" s="7"/>
      <c r="E115" s="7"/>
      <c r="F115" s="9"/>
      <c r="G115" s="26"/>
      <c r="H115" s="9"/>
      <c r="I115" s="42"/>
      <c r="J115" s="41"/>
      <c r="K115" s="26"/>
      <c r="L115" s="26">
        <f>IF(OR(G115="",H115=""),"",G115*H115)</f>
      </c>
      <c r="M115" s="26"/>
      <c r="N115" s="25"/>
      <c r="O115" s="8"/>
    </row>
    <row r="116">
      <c r="A116" s="23"/>
      <c r="B116" s="7">
        <f>IF(A116="","",INT((A116-Settings!$B$4)/7)+1)</f>
      </c>
      <c r="C116" s="7"/>
      <c r="D116" s="7"/>
      <c r="E116" s="7"/>
      <c r="F116" s="9"/>
      <c r="G116" s="26"/>
      <c r="H116" s="9"/>
      <c r="I116" s="42"/>
      <c r="J116" s="41"/>
      <c r="K116" s="26"/>
      <c r="L116" s="26">
        <f>IF(OR(G116="",H116=""),"",G116*H116)</f>
      </c>
      <c r="M116" s="26"/>
      <c r="N116" s="25"/>
      <c r="O116" s="8"/>
    </row>
    <row r="117">
      <c r="A117" s="23"/>
      <c r="B117" s="7">
        <f>IF(A117="","",INT((A117-Settings!$B$4)/7)+1)</f>
      </c>
      <c r="C117" s="7"/>
      <c r="D117" s="7"/>
      <c r="E117" s="7"/>
      <c r="F117" s="9"/>
      <c r="G117" s="26"/>
      <c r="H117" s="9"/>
      <c r="I117" s="42"/>
      <c r="J117" s="41"/>
      <c r="K117" s="26"/>
      <c r="L117" s="26">
        <f>IF(OR(G117="",H117=""),"",G117*H117)</f>
      </c>
      <c r="M117" s="26"/>
      <c r="N117" s="25"/>
      <c r="O117" s="8"/>
    </row>
    <row r="118">
      <c r="A118" s="23"/>
      <c r="B118" s="7">
        <f>IF(A118="","",INT((A118-Settings!$B$4)/7)+1)</f>
      </c>
      <c r="C118" s="7"/>
      <c r="D118" s="7"/>
      <c r="E118" s="7"/>
      <c r="F118" s="9"/>
      <c r="G118" s="26"/>
      <c r="H118" s="9"/>
      <c r="I118" s="42"/>
      <c r="J118" s="41"/>
      <c r="K118" s="26"/>
      <c r="L118" s="26">
        <f>IF(OR(G118="",H118=""),"",G118*H118)</f>
      </c>
      <c r="M118" s="26"/>
      <c r="N118" s="25"/>
      <c r="O118" s="8"/>
    </row>
    <row r="119">
      <c r="A119" s="23"/>
      <c r="B119" s="7">
        <f>IF(A119="","",INT((A119-Settings!$B$4)/7)+1)</f>
      </c>
      <c r="C119" s="7"/>
      <c r="D119" s="7"/>
      <c r="E119" s="7"/>
      <c r="F119" s="9"/>
      <c r="G119" s="26"/>
      <c r="H119" s="9"/>
      <c r="I119" s="42"/>
      <c r="J119" s="41"/>
      <c r="K119" s="26"/>
      <c r="L119" s="26">
        <f>IF(OR(G119="",H119=""),"",G119*H119)</f>
      </c>
      <c r="M119" s="26"/>
      <c r="N119" s="25"/>
      <c r="O119" s="8"/>
    </row>
    <row r="120">
      <c r="A120" s="23"/>
      <c r="B120" s="7">
        <f>IF(A120="","",INT((A120-Settings!$B$4)/7)+1)</f>
      </c>
      <c r="C120" s="7"/>
      <c r="D120" s="7"/>
      <c r="E120" s="7"/>
      <c r="F120" s="9"/>
      <c r="G120" s="26"/>
      <c r="H120" s="9"/>
      <c r="I120" s="42"/>
      <c r="J120" s="41"/>
      <c r="K120" s="26"/>
      <c r="L120" s="26">
        <f>IF(OR(G120="",H120=""),"",G120*H120)</f>
      </c>
      <c r="M120" s="26"/>
      <c r="N120" s="25"/>
      <c r="O120" s="8"/>
    </row>
    <row r="121">
      <c r="A121" s="23"/>
      <c r="B121" s="7">
        <f>IF(A121="","",INT((A121-Settings!$B$4)/7)+1)</f>
      </c>
      <c r="C121" s="7"/>
      <c r="D121" s="7"/>
      <c r="E121" s="7"/>
      <c r="F121" s="9"/>
      <c r="G121" s="26"/>
      <c r="H121" s="9"/>
      <c r="I121" s="42"/>
      <c r="J121" s="41"/>
      <c r="K121" s="26"/>
      <c r="L121" s="26">
        <f>IF(OR(G121="",H121=""),"",G121*H121)</f>
      </c>
      <c r="M121" s="26"/>
      <c r="N121" s="25"/>
      <c r="O121" s="8"/>
    </row>
    <row r="122">
      <c r="A122" s="23"/>
      <c r="B122" s="7">
        <f>IF(A122="","",INT((A122-Settings!$B$4)/7)+1)</f>
      </c>
      <c r="C122" s="7"/>
      <c r="D122" s="7"/>
      <c r="E122" s="7"/>
      <c r="F122" s="9"/>
      <c r="G122" s="26"/>
      <c r="H122" s="9"/>
      <c r="I122" s="42"/>
      <c r="J122" s="41"/>
      <c r="K122" s="26"/>
      <c r="L122" s="26">
        <f>IF(OR(G122="",H122=""),"",G122*H122)</f>
      </c>
      <c r="M122" s="26"/>
      <c r="N122" s="25"/>
      <c r="O122" s="8"/>
    </row>
    <row r="123">
      <c r="A123" s="23"/>
      <c r="B123" s="7">
        <f>IF(A123="","",INT((A123-Settings!$B$4)/7)+1)</f>
      </c>
      <c r="C123" s="7"/>
      <c r="D123" s="7"/>
      <c r="E123" s="7"/>
      <c r="F123" s="9"/>
      <c r="G123" s="26"/>
      <c r="H123" s="9"/>
      <c r="I123" s="42"/>
      <c r="J123" s="41"/>
      <c r="K123" s="26"/>
      <c r="L123" s="26">
        <f>IF(OR(G123="",H123=""),"",G123*H123)</f>
      </c>
      <c r="M123" s="26"/>
      <c r="N123" s="25"/>
      <c r="O123" s="8"/>
    </row>
    <row r="124">
      <c r="A124" s="23"/>
      <c r="B124" s="7">
        <f>IF(A124="","",INT((A124-Settings!$B$4)/7)+1)</f>
      </c>
      <c r="C124" s="7"/>
      <c r="D124" s="7"/>
      <c r="E124" s="7"/>
      <c r="F124" s="9"/>
      <c r="G124" s="26"/>
      <c r="H124" s="9"/>
      <c r="I124" s="42"/>
      <c r="J124" s="41"/>
      <c r="K124" s="26"/>
      <c r="L124" s="26">
        <f>IF(OR(G124="",H124=""),"",G124*H124)</f>
      </c>
      <c r="M124" s="26"/>
      <c r="N124" s="25"/>
      <c r="O124" s="8"/>
    </row>
    <row r="125">
      <c r="A125" s="23"/>
      <c r="B125" s="7">
        <f>IF(A125="","",INT((A125-Settings!$B$4)/7)+1)</f>
      </c>
      <c r="C125" s="7"/>
      <c r="D125" s="7"/>
      <c r="E125" s="7"/>
      <c r="F125" s="9"/>
      <c r="G125" s="26"/>
      <c r="H125" s="9"/>
      <c r="I125" s="42"/>
      <c r="J125" s="41"/>
      <c r="K125" s="26"/>
      <c r="L125" s="26">
        <f>IF(OR(G125="",H125=""),"",G125*H125)</f>
      </c>
      <c r="M125" s="26"/>
      <c r="N125" s="25"/>
      <c r="O125" s="8"/>
    </row>
    <row r="126">
      <c r="A126" s="23"/>
      <c r="B126" s="7">
        <f>IF(A126="","",INT((A126-Settings!$B$4)/7)+1)</f>
      </c>
      <c r="C126" s="7"/>
      <c r="D126" s="7"/>
      <c r="E126" s="7"/>
      <c r="F126" s="9"/>
      <c r="G126" s="26"/>
      <c r="H126" s="9"/>
      <c r="I126" s="42"/>
      <c r="J126" s="41"/>
      <c r="K126" s="26"/>
      <c r="L126" s="26">
        <f>IF(OR(G126="",H126=""),"",G126*H126)</f>
      </c>
      <c r="M126" s="26"/>
      <c r="N126" s="25"/>
      <c r="O126" s="8"/>
    </row>
    <row r="127">
      <c r="A127" s="23"/>
      <c r="B127" s="7">
        <f>IF(A127="","",INT((A127-Settings!$B$4)/7)+1)</f>
      </c>
      <c r="C127" s="7"/>
      <c r="D127" s="7"/>
      <c r="E127" s="7"/>
      <c r="F127" s="9"/>
      <c r="G127" s="26"/>
      <c r="H127" s="9"/>
      <c r="I127" s="42"/>
      <c r="J127" s="41"/>
      <c r="K127" s="26"/>
      <c r="L127" s="26">
        <f>IF(OR(G127="",H127=""),"",G127*H127)</f>
      </c>
      <c r="M127" s="26"/>
      <c r="N127" s="25"/>
      <c r="O127" s="8"/>
    </row>
    <row r="128">
      <c r="A128" s="23"/>
      <c r="B128" s="7">
        <f>IF(A128="","",INT((A128-Settings!$B$4)/7)+1)</f>
      </c>
      <c r="C128" s="7"/>
      <c r="D128" s="7"/>
      <c r="E128" s="7"/>
      <c r="F128" s="9"/>
      <c r="G128" s="26"/>
      <c r="H128" s="9"/>
      <c r="I128" s="42"/>
      <c r="J128" s="41"/>
      <c r="K128" s="26"/>
      <c r="L128" s="26">
        <f>IF(OR(G128="",H128=""),"",G128*H128)</f>
      </c>
      <c r="M128" s="26"/>
      <c r="N128" s="25"/>
      <c r="O128" s="8"/>
    </row>
    <row r="129">
      <c r="A129" s="23"/>
      <c r="B129" s="7">
        <f>IF(A129="","",INT((A129-Settings!$B$4)/7)+1)</f>
      </c>
      <c r="C129" s="7"/>
      <c r="D129" s="7"/>
      <c r="E129" s="7"/>
      <c r="F129" s="9"/>
      <c r="G129" s="26"/>
      <c r="H129" s="9"/>
      <c r="I129" s="42"/>
      <c r="J129" s="41"/>
      <c r="K129" s="26"/>
      <c r="L129" s="26">
        <f>IF(OR(G129="",H129=""),"",G129*H129)</f>
      </c>
      <c r="M129" s="26"/>
      <c r="N129" s="25"/>
      <c r="O129" s="8"/>
    </row>
    <row r="130">
      <c r="A130" s="23"/>
      <c r="B130" s="7">
        <f>IF(A130="","",INT((A130-Settings!$B$4)/7)+1)</f>
      </c>
      <c r="C130" s="7"/>
      <c r="D130" s="7"/>
      <c r="E130" s="7"/>
      <c r="F130" s="9"/>
      <c r="G130" s="26"/>
      <c r="H130" s="9"/>
      <c r="I130" s="42"/>
      <c r="J130" s="41"/>
      <c r="K130" s="26"/>
      <c r="L130" s="26">
        <f>IF(OR(G130="",H130=""),"",G130*H130)</f>
      </c>
      <c r="M130" s="26"/>
      <c r="N130" s="25"/>
      <c r="O130" s="8"/>
    </row>
    <row r="131">
      <c r="A131" s="23"/>
      <c r="B131" s="7">
        <f>IF(A131="","",INT((A131-Settings!$B$4)/7)+1)</f>
      </c>
      <c r="C131" s="7"/>
      <c r="D131" s="7"/>
      <c r="E131" s="7"/>
      <c r="F131" s="9"/>
      <c r="G131" s="26"/>
      <c r="H131" s="9"/>
      <c r="I131" s="42"/>
      <c r="J131" s="41"/>
      <c r="K131" s="26"/>
      <c r="L131" s="26">
        <f>IF(OR(G131="",H131=""),"",G131*H131)</f>
      </c>
      <c r="M131" s="26"/>
      <c r="N131" s="25"/>
      <c r="O131" s="8"/>
    </row>
    <row r="132">
      <c r="A132" s="23"/>
      <c r="B132" s="7">
        <f>IF(A132="","",INT((A132-Settings!$B$4)/7)+1)</f>
      </c>
      <c r="C132" s="7"/>
      <c r="D132" s="7"/>
      <c r="E132" s="7"/>
      <c r="F132" s="9"/>
      <c r="G132" s="26"/>
      <c r="H132" s="9"/>
      <c r="I132" s="42"/>
      <c r="J132" s="41"/>
      <c r="K132" s="26"/>
      <c r="L132" s="26">
        <f>IF(OR(G132="",H132=""),"",G132*H132)</f>
      </c>
      <c r="M132" s="26"/>
      <c r="N132" s="25"/>
      <c r="O132" s="8"/>
    </row>
    <row r="133">
      <c r="A133" s="23"/>
      <c r="B133" s="7">
        <f>IF(A133="","",INT((A133-Settings!$B$4)/7)+1)</f>
      </c>
      <c r="C133" s="7"/>
      <c r="D133" s="7"/>
      <c r="E133" s="7"/>
      <c r="F133" s="9"/>
      <c r="G133" s="26"/>
      <c r="H133" s="9"/>
      <c r="I133" s="42"/>
      <c r="J133" s="41"/>
      <c r="K133" s="26"/>
      <c r="L133" s="26">
        <f>IF(OR(G133="",H133=""),"",G133*H133)</f>
      </c>
      <c r="M133" s="26"/>
      <c r="N133" s="25"/>
      <c r="O133" s="8"/>
    </row>
    <row r="134">
      <c r="A134" s="23"/>
      <c r="B134" s="7">
        <f>IF(A134="","",INT((A134-Settings!$B$4)/7)+1)</f>
      </c>
      <c r="C134" s="7"/>
      <c r="D134" s="7"/>
      <c r="E134" s="7"/>
      <c r="F134" s="9"/>
      <c r="G134" s="26"/>
      <c r="H134" s="9"/>
      <c r="I134" s="42"/>
      <c r="J134" s="41"/>
      <c r="K134" s="26"/>
      <c r="L134" s="26">
        <f>IF(OR(G134="",H134=""),"",G134*H134)</f>
      </c>
      <c r="M134" s="26"/>
      <c r="N134" s="25"/>
      <c r="O134" s="8"/>
    </row>
    <row r="135">
      <c r="A135" s="23"/>
      <c r="B135" s="7">
        <f>IF(A135="","",INT((A135-Settings!$B$4)/7)+1)</f>
      </c>
      <c r="C135" s="7"/>
      <c r="D135" s="7"/>
      <c r="E135" s="7"/>
      <c r="F135" s="9"/>
      <c r="G135" s="26"/>
      <c r="H135" s="9"/>
      <c r="I135" s="42"/>
      <c r="J135" s="41"/>
      <c r="K135" s="26"/>
      <c r="L135" s="26">
        <f>IF(OR(G135="",H135=""),"",G135*H135)</f>
      </c>
      <c r="M135" s="26"/>
      <c r="N135" s="25"/>
      <c r="O135" s="8"/>
    </row>
    <row r="136">
      <c r="A136" s="23"/>
      <c r="B136" s="7">
        <f>IF(A136="","",INT((A136-Settings!$B$4)/7)+1)</f>
      </c>
      <c r="C136" s="7"/>
      <c r="D136" s="7"/>
      <c r="E136" s="7"/>
      <c r="F136" s="9"/>
      <c r="G136" s="26"/>
      <c r="H136" s="9"/>
      <c r="I136" s="42"/>
      <c r="J136" s="41"/>
      <c r="K136" s="26"/>
      <c r="L136" s="26">
        <f>IF(OR(G136="",H136=""),"",G136*H136)</f>
      </c>
      <c r="M136" s="26"/>
      <c r="N136" s="25"/>
      <c r="O136" s="8"/>
    </row>
    <row r="137">
      <c r="A137" s="23"/>
      <c r="B137" s="7">
        <f>IF(A137="","",INT((A137-Settings!$B$4)/7)+1)</f>
      </c>
      <c r="C137" s="7"/>
      <c r="D137" s="7"/>
      <c r="E137" s="7"/>
      <c r="F137" s="9"/>
      <c r="G137" s="26"/>
      <c r="H137" s="9"/>
      <c r="I137" s="42"/>
      <c r="J137" s="41"/>
      <c r="K137" s="26"/>
      <c r="L137" s="26">
        <f>IF(OR(G137="",H137=""),"",G137*H137)</f>
      </c>
      <c r="M137" s="26"/>
      <c r="N137" s="25"/>
      <c r="O137" s="8"/>
    </row>
    <row r="138">
      <c r="A138" s="23"/>
      <c r="B138" s="7">
        <f>IF(A138="","",INT((A138-Settings!$B$4)/7)+1)</f>
      </c>
      <c r="C138" s="7"/>
      <c r="D138" s="7"/>
      <c r="E138" s="7"/>
      <c r="F138" s="9"/>
      <c r="G138" s="26"/>
      <c r="H138" s="9"/>
      <c r="I138" s="42"/>
      <c r="J138" s="41"/>
      <c r="K138" s="26"/>
      <c r="L138" s="26">
        <f>IF(OR(G138="",H138=""),"",G138*H138)</f>
      </c>
      <c r="M138" s="26"/>
      <c r="N138" s="25"/>
      <c r="O138" s="8"/>
    </row>
    <row r="139">
      <c r="A139" s="23"/>
      <c r="B139" s="7">
        <f>IF(A139="","",INT((A139-Settings!$B$4)/7)+1)</f>
      </c>
      <c r="C139" s="7"/>
      <c r="D139" s="7"/>
      <c r="E139" s="7"/>
      <c r="F139" s="9"/>
      <c r="G139" s="26"/>
      <c r="H139" s="9"/>
      <c r="I139" s="42"/>
      <c r="J139" s="41"/>
      <c r="K139" s="26"/>
      <c r="L139" s="26">
        <f>IF(OR(G139="",H139=""),"",G139*H139)</f>
      </c>
      <c r="M139" s="26"/>
      <c r="N139" s="25"/>
      <c r="O139" s="8"/>
    </row>
    <row r="140">
      <c r="A140" s="23"/>
      <c r="B140" s="7">
        <f>IF(A140="","",INT((A140-Settings!$B$4)/7)+1)</f>
      </c>
      <c r="C140" s="7"/>
      <c r="D140" s="7"/>
      <c r="E140" s="7"/>
      <c r="F140" s="9"/>
      <c r="G140" s="26"/>
      <c r="H140" s="9"/>
      <c r="I140" s="42"/>
      <c r="J140" s="41"/>
      <c r="K140" s="26"/>
      <c r="L140" s="26">
        <f>IF(OR(G140="",H140=""),"",G140*H140)</f>
      </c>
      <c r="M140" s="26"/>
      <c r="N140" s="25"/>
      <c r="O140" s="8"/>
    </row>
    <row r="141">
      <c r="A141" s="23"/>
      <c r="B141" s="7">
        <f>IF(A141="","",INT((A141-Settings!$B$4)/7)+1)</f>
      </c>
      <c r="C141" s="7"/>
      <c r="D141" s="7"/>
      <c r="E141" s="7"/>
      <c r="F141" s="9"/>
      <c r="G141" s="26"/>
      <c r="H141" s="9"/>
      <c r="I141" s="42"/>
      <c r="J141" s="41"/>
      <c r="K141" s="26"/>
      <c r="L141" s="26">
        <f>IF(OR(G141="",H141=""),"",G141*H141)</f>
      </c>
      <c r="M141" s="26"/>
      <c r="N141" s="25"/>
      <c r="O141" s="8"/>
    </row>
    <row r="142">
      <c r="A142" s="23"/>
      <c r="B142" s="7">
        <f>IF(A142="","",INT((A142-Settings!$B$4)/7)+1)</f>
      </c>
      <c r="C142" s="7"/>
      <c r="D142" s="7"/>
      <c r="E142" s="7"/>
      <c r="F142" s="9"/>
      <c r="G142" s="26"/>
      <c r="H142" s="9"/>
      <c r="I142" s="42"/>
      <c r="J142" s="41"/>
      <c r="K142" s="26"/>
      <c r="L142" s="26">
        <f>IF(OR(G142="",H142=""),"",G142*H142)</f>
      </c>
      <c r="M142" s="26"/>
      <c r="N142" s="25"/>
      <c r="O142" s="8"/>
    </row>
    <row r="143">
      <c r="A143" s="23"/>
      <c r="B143" s="7">
        <f>IF(A143="","",INT((A143-Settings!$B$4)/7)+1)</f>
      </c>
      <c r="C143" s="7"/>
      <c r="D143" s="7"/>
      <c r="E143" s="7"/>
      <c r="F143" s="9"/>
      <c r="G143" s="26"/>
      <c r="H143" s="9"/>
      <c r="I143" s="42"/>
      <c r="J143" s="41"/>
      <c r="K143" s="26"/>
      <c r="L143" s="26">
        <f>IF(OR(G143="",H143=""),"",G143*H143)</f>
      </c>
      <c r="M143" s="26"/>
      <c r="N143" s="25"/>
      <c r="O143" s="8"/>
    </row>
    <row r="144">
      <c r="A144" s="23"/>
      <c r="B144" s="7">
        <f>IF(A144="","",INT((A144-Settings!$B$4)/7)+1)</f>
      </c>
      <c r="C144" s="7"/>
      <c r="D144" s="7"/>
      <c r="E144" s="7"/>
      <c r="F144" s="9"/>
      <c r="G144" s="26"/>
      <c r="H144" s="9"/>
      <c r="I144" s="42"/>
      <c r="J144" s="41"/>
      <c r="K144" s="26"/>
      <c r="L144" s="26">
        <f>IF(OR(G144="",H144=""),"",G144*H144)</f>
      </c>
      <c r="M144" s="26"/>
      <c r="N144" s="25"/>
      <c r="O144" s="8"/>
    </row>
    <row r="145">
      <c r="A145" s="23"/>
      <c r="B145" s="7">
        <f>IF(A145="","",INT((A145-Settings!$B$4)/7)+1)</f>
      </c>
      <c r="C145" s="7"/>
      <c r="D145" s="7"/>
      <c r="E145" s="7"/>
      <c r="F145" s="9"/>
      <c r="G145" s="26"/>
      <c r="H145" s="9"/>
      <c r="I145" s="42"/>
      <c r="J145" s="41"/>
      <c r="K145" s="26"/>
      <c r="L145" s="26">
        <f>IF(OR(G145="",H145=""),"",G145*H145)</f>
      </c>
      <c r="M145" s="26"/>
      <c r="N145" s="25"/>
      <c r="O145" s="8"/>
    </row>
    <row r="146">
      <c r="A146" s="23"/>
      <c r="B146" s="7">
        <f>IF(A146="","",INT((A146-Settings!$B$4)/7)+1)</f>
      </c>
      <c r="C146" s="7"/>
      <c r="D146" s="7"/>
      <c r="E146" s="7"/>
      <c r="F146" s="9"/>
      <c r="G146" s="26"/>
      <c r="H146" s="9"/>
      <c r="I146" s="42"/>
      <c r="J146" s="41"/>
      <c r="K146" s="26"/>
      <c r="L146" s="26">
        <f>IF(OR(G146="",H146=""),"",G146*H146)</f>
      </c>
      <c r="M146" s="26"/>
      <c r="N146" s="25"/>
      <c r="O146" s="8"/>
    </row>
    <row r="147">
      <c r="A147" s="23"/>
      <c r="B147" s="7">
        <f>IF(A147="","",INT((A147-Settings!$B$4)/7)+1)</f>
      </c>
      <c r="C147" s="7"/>
      <c r="D147" s="7"/>
      <c r="E147" s="7"/>
      <c r="F147" s="9"/>
      <c r="G147" s="26"/>
      <c r="H147" s="9"/>
      <c r="I147" s="42"/>
      <c r="J147" s="41"/>
      <c r="K147" s="26"/>
      <c r="L147" s="26">
        <f>IF(OR(G147="",H147=""),"",G147*H147)</f>
      </c>
      <c r="M147" s="26"/>
      <c r="N147" s="25"/>
      <c r="O147" s="8"/>
    </row>
    <row r="148">
      <c r="A148" s="23"/>
      <c r="B148" s="7">
        <f>IF(A148="","",INT((A148-Settings!$B$4)/7)+1)</f>
      </c>
      <c r="C148" s="7"/>
      <c r="D148" s="7"/>
      <c r="E148" s="7"/>
      <c r="F148" s="9"/>
      <c r="G148" s="26"/>
      <c r="H148" s="9"/>
      <c r="I148" s="42"/>
      <c r="J148" s="41"/>
      <c r="K148" s="26"/>
      <c r="L148" s="26">
        <f>IF(OR(G148="",H148=""),"",G148*H148)</f>
      </c>
      <c r="M148" s="26"/>
      <c r="N148" s="25"/>
      <c r="O148" s="8"/>
    </row>
    <row r="149">
      <c r="A149" s="23"/>
      <c r="B149" s="7">
        <f>IF(A149="","",INT((A149-Settings!$B$4)/7)+1)</f>
      </c>
      <c r="C149" s="7"/>
      <c r="D149" s="7"/>
      <c r="E149" s="7"/>
      <c r="F149" s="9"/>
      <c r="G149" s="26"/>
      <c r="H149" s="9"/>
      <c r="I149" s="42"/>
      <c r="J149" s="41"/>
      <c r="K149" s="26"/>
      <c r="L149" s="26">
        <f>IF(OR(G149="",H149=""),"",G149*H149)</f>
      </c>
      <c r="M149" s="26"/>
      <c r="N149" s="25"/>
      <c r="O149" s="8"/>
    </row>
    <row r="150">
      <c r="A150" s="23"/>
      <c r="B150" s="7">
        <f>IF(A150="","",INT((A150-Settings!$B$4)/7)+1)</f>
      </c>
      <c r="C150" s="7"/>
      <c r="D150" s="7"/>
      <c r="E150" s="7"/>
      <c r="F150" s="9"/>
      <c r="G150" s="26"/>
      <c r="H150" s="9"/>
      <c r="I150" s="42"/>
      <c r="J150" s="41"/>
      <c r="K150" s="26"/>
      <c r="L150" s="26">
        <f>IF(OR(G150="",H150=""),"",G150*H150)</f>
      </c>
      <c r="M150" s="26"/>
      <c r="N150" s="25"/>
      <c r="O150" s="8"/>
    </row>
    <row r="151">
      <c r="A151" s="23"/>
      <c r="B151" s="7">
        <f>IF(A151="","",INT((A151-Settings!$B$4)/7)+1)</f>
      </c>
      <c r="C151" s="7"/>
      <c r="D151" s="7"/>
      <c r="E151" s="7"/>
      <c r="F151" s="9"/>
      <c r="G151" s="26"/>
      <c r="H151" s="9"/>
      <c r="I151" s="42"/>
      <c r="J151" s="41"/>
      <c r="K151" s="26"/>
      <c r="L151" s="26">
        <f>IF(OR(G151="",H151=""),"",G151*H151)</f>
      </c>
      <c r="M151" s="26"/>
      <c r="N151" s="25"/>
      <c r="O151" s="8"/>
    </row>
    <row r="152">
      <c r="A152" s="23"/>
      <c r="B152" s="7">
        <f>IF(A152="","",INT((A152-Settings!$B$4)/7)+1)</f>
      </c>
      <c r="C152" s="7"/>
      <c r="D152" s="7"/>
      <c r="E152" s="7"/>
      <c r="F152" s="9"/>
      <c r="G152" s="26"/>
      <c r="H152" s="9"/>
      <c r="I152" s="42"/>
      <c r="J152" s="41"/>
      <c r="K152" s="26"/>
      <c r="L152" s="26">
        <f>IF(OR(G152="",H152=""),"",G152*H152)</f>
      </c>
      <c r="M152" s="26"/>
      <c r="N152" s="25"/>
      <c r="O152" s="8"/>
    </row>
    <row r="153">
      <c r="A153" s="23"/>
      <c r="B153" s="7">
        <f>IF(A153="","",INT((A153-Settings!$B$4)/7)+1)</f>
      </c>
      <c r="C153" s="7"/>
      <c r="D153" s="7"/>
      <c r="E153" s="7"/>
      <c r="F153" s="9"/>
      <c r="G153" s="26"/>
      <c r="H153" s="9"/>
      <c r="I153" s="42"/>
      <c r="J153" s="41"/>
      <c r="K153" s="26"/>
      <c r="L153" s="26">
        <f>IF(OR(G153="",H153=""),"",G153*H153)</f>
      </c>
      <c r="M153" s="26"/>
      <c r="N153" s="25"/>
      <c r="O153" s="8"/>
    </row>
    <row r="154">
      <c r="A154" s="23"/>
      <c r="B154" s="7">
        <f>IF(A154="","",INT((A154-Settings!$B$4)/7)+1)</f>
      </c>
      <c r="C154" s="7"/>
      <c r="D154" s="7"/>
      <c r="E154" s="7"/>
      <c r="F154" s="9"/>
      <c r="G154" s="26"/>
      <c r="H154" s="9"/>
      <c r="I154" s="42"/>
      <c r="J154" s="41"/>
      <c r="K154" s="26"/>
      <c r="L154" s="26">
        <f>IF(OR(G154="",H154=""),"",G154*H154)</f>
      </c>
      <c r="M154" s="26"/>
      <c r="N154" s="25"/>
      <c r="O154" s="8"/>
    </row>
    <row r="155">
      <c r="A155" s="23"/>
      <c r="B155" s="7">
        <f>IF(A155="","",INT((A155-Settings!$B$4)/7)+1)</f>
      </c>
      <c r="C155" s="7"/>
      <c r="D155" s="7"/>
      <c r="E155" s="7"/>
      <c r="F155" s="9"/>
      <c r="G155" s="26"/>
      <c r="H155" s="9"/>
      <c r="I155" s="42"/>
      <c r="J155" s="41"/>
      <c r="K155" s="26"/>
      <c r="L155" s="26">
        <f>IF(OR(G155="",H155=""),"",G155*H155)</f>
      </c>
      <c r="M155" s="26"/>
      <c r="N155" s="25"/>
      <c r="O155" s="8"/>
    </row>
    <row r="156">
      <c r="A156" s="23"/>
      <c r="B156" s="7">
        <f>IF(A156="","",INT((A156-Settings!$B$4)/7)+1)</f>
      </c>
      <c r="C156" s="7"/>
      <c r="D156" s="7"/>
      <c r="E156" s="7"/>
      <c r="F156" s="9"/>
      <c r="G156" s="26"/>
      <c r="H156" s="9"/>
      <c r="I156" s="42"/>
      <c r="J156" s="41"/>
      <c r="K156" s="26"/>
      <c r="L156" s="26">
        <f>IF(OR(G156="",H156=""),"",G156*H156)</f>
      </c>
      <c r="M156" s="26"/>
      <c r="N156" s="25"/>
      <c r="O156" s="8"/>
    </row>
    <row r="157">
      <c r="A157" s="23"/>
      <c r="B157" s="7">
        <f>IF(A157="","",INT((A157-Settings!$B$4)/7)+1)</f>
      </c>
      <c r="C157" s="7"/>
      <c r="D157" s="7"/>
      <c r="E157" s="7"/>
      <c r="F157" s="9"/>
      <c r="G157" s="26"/>
      <c r="H157" s="9"/>
      <c r="I157" s="42"/>
      <c r="J157" s="41"/>
      <c r="K157" s="26"/>
      <c r="L157" s="26">
        <f>IF(OR(G157="",H157=""),"",G157*H157)</f>
      </c>
      <c r="M157" s="26"/>
      <c r="N157" s="25"/>
      <c r="O157" s="8"/>
    </row>
    <row r="158">
      <c r="A158" s="23"/>
      <c r="B158" s="7">
        <f>IF(A158="","",INT((A158-Settings!$B$4)/7)+1)</f>
      </c>
      <c r="C158" s="7"/>
      <c r="D158" s="7"/>
      <c r="E158" s="7"/>
      <c r="F158" s="9"/>
      <c r="G158" s="26"/>
      <c r="H158" s="9"/>
      <c r="I158" s="42"/>
      <c r="J158" s="41"/>
      <c r="K158" s="26"/>
      <c r="L158" s="26">
        <f>IF(OR(G158="",H158=""),"",G158*H158)</f>
      </c>
      <c r="M158" s="26"/>
      <c r="N158" s="25"/>
      <c r="O158" s="8"/>
    </row>
    <row r="159">
      <c r="A159" s="23"/>
      <c r="B159" s="7">
        <f>IF(A159="","",INT((A159-Settings!$B$4)/7)+1)</f>
      </c>
      <c r="C159" s="7"/>
      <c r="D159" s="7"/>
      <c r="E159" s="7"/>
      <c r="F159" s="9"/>
      <c r="G159" s="26"/>
      <c r="H159" s="9"/>
      <c r="I159" s="42"/>
      <c r="J159" s="41"/>
      <c r="K159" s="26"/>
      <c r="L159" s="26">
        <f>IF(OR(G159="",H159=""),"",G159*H159)</f>
      </c>
      <c r="M159" s="26"/>
      <c r="N159" s="25"/>
      <c r="O159" s="8"/>
    </row>
    <row r="160">
      <c r="A160" s="23"/>
      <c r="B160" s="7">
        <f>IF(A160="","",INT((A160-Settings!$B$4)/7)+1)</f>
      </c>
      <c r="C160" s="7"/>
      <c r="D160" s="7"/>
      <c r="E160" s="7"/>
      <c r="F160" s="9"/>
      <c r="G160" s="26"/>
      <c r="H160" s="9"/>
      <c r="I160" s="42"/>
      <c r="J160" s="41"/>
      <c r="K160" s="26"/>
      <c r="L160" s="26">
        <f>IF(OR(G160="",H160=""),"",G160*H160)</f>
      </c>
      <c r="M160" s="26"/>
      <c r="N160" s="25"/>
      <c r="O160" s="8"/>
    </row>
    <row r="161">
      <c r="A161" s="23"/>
      <c r="B161" s="7">
        <f>IF(A161="","",INT((A161-Settings!$B$4)/7)+1)</f>
      </c>
      <c r="C161" s="7"/>
      <c r="D161" s="7"/>
      <c r="E161" s="7"/>
      <c r="F161" s="9"/>
      <c r="G161" s="26"/>
      <c r="H161" s="9"/>
      <c r="I161" s="42"/>
      <c r="J161" s="41"/>
      <c r="K161" s="26"/>
      <c r="L161" s="26">
        <f>IF(OR(G161="",H161=""),"",G161*H161)</f>
      </c>
      <c r="M161" s="26"/>
      <c r="N161" s="25"/>
      <c r="O161" s="8"/>
    </row>
    <row r="162">
      <c r="A162" s="23"/>
      <c r="B162" s="7">
        <f>IF(A162="","",INT((A162-Settings!$B$4)/7)+1)</f>
      </c>
      <c r="C162" s="7"/>
      <c r="D162" s="7"/>
      <c r="E162" s="7"/>
      <c r="F162" s="9"/>
      <c r="G162" s="26"/>
      <c r="H162" s="9"/>
      <c r="I162" s="42"/>
      <c r="J162" s="41"/>
      <c r="K162" s="26"/>
      <c r="L162" s="26">
        <f>IF(OR(G162="",H162=""),"",G162*H162)</f>
      </c>
      <c r="M162" s="26"/>
      <c r="N162" s="25"/>
      <c r="O162" s="8"/>
    </row>
    <row r="163">
      <c r="A163" s="23"/>
      <c r="B163" s="7">
        <f>IF(A163="","",INT((A163-Settings!$B$4)/7)+1)</f>
      </c>
      <c r="C163" s="7"/>
      <c r="D163" s="7"/>
      <c r="E163" s="7"/>
      <c r="F163" s="9"/>
      <c r="G163" s="26"/>
      <c r="H163" s="9"/>
      <c r="I163" s="42"/>
      <c r="J163" s="41"/>
      <c r="K163" s="26"/>
      <c r="L163" s="26">
        <f>IF(OR(G163="",H163=""),"",G163*H163)</f>
      </c>
      <c r="M163" s="26"/>
      <c r="N163" s="25"/>
      <c r="O163" s="8"/>
    </row>
    <row r="164">
      <c r="A164" s="23"/>
      <c r="B164" s="7">
        <f>IF(A164="","",INT((A164-Settings!$B$4)/7)+1)</f>
      </c>
      <c r="C164" s="7"/>
      <c r="D164" s="7"/>
      <c r="E164" s="7"/>
      <c r="F164" s="9"/>
      <c r="G164" s="26"/>
      <c r="H164" s="9"/>
      <c r="I164" s="42"/>
      <c r="J164" s="41"/>
      <c r="K164" s="26"/>
      <c r="L164" s="26">
        <f>IF(OR(G164="",H164=""),"",G164*H164)</f>
      </c>
      <c r="M164" s="26"/>
      <c r="N164" s="25"/>
      <c r="O164" s="8"/>
    </row>
    <row r="165">
      <c r="A165" s="23"/>
      <c r="B165" s="7">
        <f>IF(A165="","",INT((A165-Settings!$B$4)/7)+1)</f>
      </c>
      <c r="C165" s="7"/>
      <c r="D165" s="7"/>
      <c r="E165" s="7"/>
      <c r="F165" s="9"/>
      <c r="G165" s="26"/>
      <c r="H165" s="9"/>
      <c r="I165" s="42"/>
      <c r="J165" s="41"/>
      <c r="K165" s="26"/>
      <c r="L165" s="26">
        <f>IF(OR(G165="",H165=""),"",G165*H165)</f>
      </c>
      <c r="M165" s="26"/>
      <c r="N165" s="25"/>
      <c r="O165" s="8"/>
    </row>
    <row r="166">
      <c r="A166" s="23"/>
      <c r="B166" s="7">
        <f>IF(A166="","",INT((A166-Settings!$B$4)/7)+1)</f>
      </c>
      <c r="C166" s="7"/>
      <c r="D166" s="7"/>
      <c r="E166" s="7"/>
      <c r="F166" s="9"/>
      <c r="G166" s="26"/>
      <c r="H166" s="9"/>
      <c r="I166" s="42"/>
      <c r="J166" s="41"/>
      <c r="K166" s="26"/>
      <c r="L166" s="26">
        <f>IF(OR(G166="",H166=""),"",G166*H166)</f>
      </c>
      <c r="M166" s="26"/>
      <c r="N166" s="25"/>
      <c r="O166" s="8"/>
    </row>
    <row r="167">
      <c r="A167" s="23"/>
      <c r="B167" s="7">
        <f>IF(A167="","",INT((A167-Settings!$B$4)/7)+1)</f>
      </c>
      <c r="C167" s="7"/>
      <c r="D167" s="7"/>
      <c r="E167" s="7"/>
      <c r="F167" s="9"/>
      <c r="G167" s="26"/>
      <c r="H167" s="9"/>
      <c r="I167" s="42"/>
      <c r="J167" s="41"/>
      <c r="K167" s="26"/>
      <c r="L167" s="26">
        <f>IF(OR(G167="",H167=""),"",G167*H167)</f>
      </c>
      <c r="M167" s="26"/>
      <c r="N167" s="25"/>
      <c r="O167" s="8"/>
    </row>
    <row r="168">
      <c r="A168" s="23"/>
      <c r="B168" s="7">
        <f>IF(A168="","",INT((A168-Settings!$B$4)/7)+1)</f>
      </c>
      <c r="C168" s="7"/>
      <c r="D168" s="7"/>
      <c r="E168" s="7"/>
      <c r="F168" s="9"/>
      <c r="G168" s="26"/>
      <c r="H168" s="9"/>
      <c r="I168" s="42"/>
      <c r="J168" s="41"/>
      <c r="K168" s="26"/>
      <c r="L168" s="26">
        <f>IF(OR(G168="",H168=""),"",G168*H168)</f>
      </c>
      <c r="M168" s="26"/>
      <c r="N168" s="25"/>
      <c r="O168" s="8"/>
    </row>
    <row r="169">
      <c r="A169" s="23"/>
      <c r="B169" s="7">
        <f>IF(A169="","",INT((A169-Settings!$B$4)/7)+1)</f>
      </c>
      <c r="C169" s="7"/>
      <c r="D169" s="7"/>
      <c r="E169" s="7"/>
      <c r="F169" s="9"/>
      <c r="G169" s="26"/>
      <c r="H169" s="9"/>
      <c r="I169" s="42"/>
      <c r="J169" s="41"/>
      <c r="K169" s="26"/>
      <c r="L169" s="26">
        <f>IF(OR(G169="",H169=""),"",G169*H169)</f>
      </c>
      <c r="M169" s="26"/>
      <c r="N169" s="25"/>
      <c r="O169" s="8"/>
    </row>
    <row r="170">
      <c r="A170" s="23"/>
      <c r="B170" s="7">
        <f>IF(A170="","",INT((A170-Settings!$B$4)/7)+1)</f>
      </c>
      <c r="C170" s="7"/>
      <c r="D170" s="7"/>
      <c r="E170" s="7"/>
      <c r="F170" s="9"/>
      <c r="G170" s="26"/>
      <c r="H170" s="9"/>
      <c r="I170" s="42"/>
      <c r="J170" s="41"/>
      <c r="K170" s="26"/>
      <c r="L170" s="26">
        <f>IF(OR(G170="",H170=""),"",G170*H170)</f>
      </c>
      <c r="M170" s="26"/>
      <c r="N170" s="25"/>
      <c r="O170" s="8"/>
    </row>
    <row r="171">
      <c r="A171" s="23"/>
      <c r="B171" s="7">
        <f>IF(A171="","",INT((A171-Settings!$B$4)/7)+1)</f>
      </c>
      <c r="C171" s="7"/>
      <c r="D171" s="7"/>
      <c r="E171" s="7"/>
      <c r="F171" s="9"/>
      <c r="G171" s="26"/>
      <c r="H171" s="9"/>
      <c r="I171" s="42"/>
      <c r="J171" s="41"/>
      <c r="K171" s="26"/>
      <c r="L171" s="26">
        <f>IF(OR(G171="",H171=""),"",G171*H171)</f>
      </c>
      <c r="M171" s="26"/>
      <c r="N171" s="25"/>
      <c r="O171" s="8"/>
    </row>
    <row r="172">
      <c r="A172" s="23"/>
      <c r="B172" s="7">
        <f>IF(A172="","",INT((A172-Settings!$B$4)/7)+1)</f>
      </c>
      <c r="C172" s="7"/>
      <c r="D172" s="7"/>
      <c r="E172" s="7"/>
      <c r="F172" s="9"/>
      <c r="G172" s="26"/>
      <c r="H172" s="9"/>
      <c r="I172" s="42"/>
      <c r="J172" s="41"/>
      <c r="K172" s="26"/>
      <c r="L172" s="26">
        <f>IF(OR(G172="",H172=""),"",G172*H172)</f>
      </c>
      <c r="M172" s="26"/>
      <c r="N172" s="25"/>
      <c r="O172" s="8"/>
    </row>
    <row r="173">
      <c r="A173" s="23"/>
      <c r="B173" s="7">
        <f>IF(A173="","",INT((A173-Settings!$B$4)/7)+1)</f>
      </c>
      <c r="C173" s="7"/>
      <c r="D173" s="7"/>
      <c r="E173" s="7"/>
      <c r="F173" s="9"/>
      <c r="G173" s="26"/>
      <c r="H173" s="9"/>
      <c r="I173" s="42"/>
      <c r="J173" s="41"/>
      <c r="K173" s="26"/>
      <c r="L173" s="26">
        <f>IF(OR(G173="",H173=""),"",G173*H173)</f>
      </c>
      <c r="M173" s="26"/>
      <c r="N173" s="25"/>
      <c r="O173" s="8"/>
    </row>
    <row r="174">
      <c r="A174" s="23"/>
      <c r="B174" s="7">
        <f>IF(A174="","",INT((A174-Settings!$B$4)/7)+1)</f>
      </c>
      <c r="C174" s="7"/>
      <c r="D174" s="7"/>
      <c r="E174" s="7"/>
      <c r="F174" s="9"/>
      <c r="G174" s="26"/>
      <c r="H174" s="9"/>
      <c r="I174" s="42"/>
      <c r="J174" s="41"/>
      <c r="K174" s="26"/>
      <c r="L174" s="26">
        <f>IF(OR(G174="",H174=""),"",G174*H174)</f>
      </c>
      <c r="M174" s="26"/>
      <c r="N174" s="25"/>
      <c r="O174" s="8"/>
    </row>
    <row r="175">
      <c r="A175" s="23"/>
      <c r="B175" s="7">
        <f>IF(A175="","",INT((A175-Settings!$B$4)/7)+1)</f>
      </c>
      <c r="C175" s="7"/>
      <c r="D175" s="7"/>
      <c r="E175" s="7"/>
      <c r="F175" s="9"/>
      <c r="G175" s="26"/>
      <c r="H175" s="9"/>
      <c r="I175" s="42"/>
      <c r="J175" s="41"/>
      <c r="K175" s="26"/>
      <c r="L175" s="26">
        <f>IF(OR(G175="",H175=""),"",G175*H175)</f>
      </c>
      <c r="M175" s="26"/>
      <c r="N175" s="25"/>
      <c r="O175" s="8"/>
    </row>
    <row r="176">
      <c r="A176" s="23"/>
      <c r="B176" s="7">
        <f>IF(A176="","",INT((A176-Settings!$B$4)/7)+1)</f>
      </c>
      <c r="C176" s="7"/>
      <c r="D176" s="7"/>
      <c r="E176" s="7"/>
      <c r="F176" s="9"/>
      <c r="G176" s="26"/>
      <c r="H176" s="9"/>
      <c r="I176" s="42"/>
      <c r="J176" s="41"/>
      <c r="K176" s="26"/>
      <c r="L176" s="26">
        <f>IF(OR(G176="",H176=""),"",G176*H176)</f>
      </c>
      <c r="M176" s="26"/>
      <c r="N176" s="25"/>
      <c r="O176" s="8"/>
    </row>
    <row r="177">
      <c r="A177" s="23"/>
      <c r="B177" s="7">
        <f>IF(A177="","",INT((A177-Settings!$B$4)/7)+1)</f>
      </c>
      <c r="C177" s="7"/>
      <c r="D177" s="7"/>
      <c r="E177" s="7"/>
      <c r="F177" s="9"/>
      <c r="G177" s="26"/>
      <c r="H177" s="9"/>
      <c r="I177" s="42"/>
      <c r="J177" s="41"/>
      <c r="K177" s="26"/>
      <c r="L177" s="26">
        <f>IF(OR(G177="",H177=""),"",G177*H177)</f>
      </c>
      <c r="M177" s="26"/>
      <c r="N177" s="25"/>
      <c r="O177" s="8"/>
    </row>
    <row r="178">
      <c r="A178" s="23"/>
      <c r="B178" s="7">
        <f>IF(A178="","",INT((A178-Settings!$B$4)/7)+1)</f>
      </c>
      <c r="C178" s="7"/>
      <c r="D178" s="7"/>
      <c r="E178" s="7"/>
      <c r="F178" s="9"/>
      <c r="G178" s="26"/>
      <c r="H178" s="9"/>
      <c r="I178" s="42"/>
      <c r="J178" s="41"/>
      <c r="K178" s="26"/>
      <c r="L178" s="26">
        <f>IF(OR(G178="",H178=""),"",G178*H178)</f>
      </c>
      <c r="M178" s="26"/>
      <c r="N178" s="25"/>
      <c r="O178" s="8"/>
    </row>
    <row r="179">
      <c r="A179" s="23"/>
      <c r="B179" s="7">
        <f>IF(A179="","",INT((A179-Settings!$B$4)/7)+1)</f>
      </c>
      <c r="C179" s="7"/>
      <c r="D179" s="7"/>
      <c r="E179" s="7"/>
      <c r="F179" s="9"/>
      <c r="G179" s="26"/>
      <c r="H179" s="9"/>
      <c r="I179" s="42"/>
      <c r="J179" s="41"/>
      <c r="K179" s="26"/>
      <c r="L179" s="26">
        <f>IF(OR(G179="",H179=""),"",G179*H179)</f>
      </c>
      <c r="M179" s="26"/>
      <c r="N179" s="25"/>
      <c r="O179" s="8"/>
    </row>
    <row r="180">
      <c r="A180" s="23"/>
      <c r="B180" s="7">
        <f>IF(A180="","",INT((A180-Settings!$B$4)/7)+1)</f>
      </c>
      <c r="C180" s="7"/>
      <c r="D180" s="7"/>
      <c r="E180" s="7"/>
      <c r="F180" s="9"/>
      <c r="G180" s="26"/>
      <c r="H180" s="9"/>
      <c r="I180" s="42"/>
      <c r="J180" s="41"/>
      <c r="K180" s="26"/>
      <c r="L180" s="26">
        <f>IF(OR(G180="",H180=""),"",G180*H180)</f>
      </c>
      <c r="M180" s="26"/>
      <c r="N180" s="25"/>
      <c r="O180" s="8"/>
    </row>
    <row r="181">
      <c r="A181" s="23"/>
      <c r="B181" s="7">
        <f>IF(A181="","",INT((A181-Settings!$B$4)/7)+1)</f>
      </c>
      <c r="C181" s="7"/>
      <c r="D181" s="7"/>
      <c r="E181" s="7"/>
      <c r="F181" s="9"/>
      <c r="G181" s="26"/>
      <c r="H181" s="9"/>
      <c r="I181" s="42"/>
      <c r="J181" s="41"/>
      <c r="K181" s="26"/>
      <c r="L181" s="26">
        <f>IF(OR(G181="",H181=""),"",G181*H181)</f>
      </c>
      <c r="M181" s="26"/>
      <c r="N181" s="25"/>
      <c r="O181" s="8"/>
    </row>
    <row r="182">
      <c r="A182" s="23"/>
      <c r="B182" s="7">
        <f>IF(A182="","",INT((A182-Settings!$B$4)/7)+1)</f>
      </c>
      <c r="C182" s="7"/>
      <c r="D182" s="7"/>
      <c r="E182" s="7"/>
      <c r="F182" s="9"/>
      <c r="G182" s="26"/>
      <c r="H182" s="9"/>
      <c r="I182" s="42"/>
      <c r="J182" s="41"/>
      <c r="K182" s="26"/>
      <c r="L182" s="26">
        <f>IF(OR(G182="",H182=""),"",G182*H182)</f>
      </c>
      <c r="M182" s="26"/>
      <c r="N182" s="25"/>
      <c r="O182" s="8"/>
    </row>
    <row r="183">
      <c r="A183" s="23"/>
      <c r="B183" s="7">
        <f>IF(A183="","",INT((A183-Settings!$B$4)/7)+1)</f>
      </c>
      <c r="C183" s="7"/>
      <c r="D183" s="7"/>
      <c r="E183" s="7"/>
      <c r="F183" s="9"/>
      <c r="G183" s="26"/>
      <c r="H183" s="9"/>
      <c r="I183" s="42"/>
      <c r="J183" s="41"/>
      <c r="K183" s="26"/>
      <c r="L183" s="26">
        <f>IF(OR(G183="",H183=""),"",G183*H183)</f>
      </c>
      <c r="M183" s="26"/>
      <c r="N183" s="25"/>
      <c r="O183" s="8"/>
    </row>
    <row r="184">
      <c r="A184" s="23"/>
      <c r="B184" s="7">
        <f>IF(A184="","",INT((A184-Settings!$B$4)/7)+1)</f>
      </c>
      <c r="C184" s="7"/>
      <c r="D184" s="7"/>
      <c r="E184" s="7"/>
      <c r="F184" s="9"/>
      <c r="G184" s="26"/>
      <c r="H184" s="9"/>
      <c r="I184" s="42"/>
      <c r="J184" s="41"/>
      <c r="K184" s="26"/>
      <c r="L184" s="26">
        <f>IF(OR(G184="",H184=""),"",G184*H184)</f>
      </c>
      <c r="M184" s="26"/>
      <c r="N184" s="25"/>
      <c r="O184" s="8"/>
    </row>
    <row r="185">
      <c r="A185" s="23"/>
      <c r="B185" s="7">
        <f>IF(A185="","",INT((A185-Settings!$B$4)/7)+1)</f>
      </c>
      <c r="C185" s="7"/>
      <c r="D185" s="7"/>
      <c r="E185" s="7"/>
      <c r="F185" s="9"/>
      <c r="G185" s="26"/>
      <c r="H185" s="9"/>
      <c r="I185" s="42"/>
      <c r="J185" s="41"/>
      <c r="K185" s="26"/>
      <c r="L185" s="26">
        <f>IF(OR(G185="",H185=""),"",G185*H185)</f>
      </c>
      <c r="M185" s="26"/>
      <c r="N185" s="25"/>
      <c r="O185" s="8"/>
    </row>
    <row r="186">
      <c r="A186" s="23"/>
      <c r="B186" s="7">
        <f>IF(A186="","",INT((A186-Settings!$B$4)/7)+1)</f>
      </c>
      <c r="C186" s="7"/>
      <c r="D186" s="7"/>
      <c r="E186" s="7"/>
      <c r="F186" s="9"/>
      <c r="G186" s="26"/>
      <c r="H186" s="9"/>
      <c r="I186" s="42"/>
      <c r="J186" s="41"/>
      <c r="K186" s="26"/>
      <c r="L186" s="26">
        <f>IF(OR(G186="",H186=""),"",G186*H186)</f>
      </c>
      <c r="M186" s="26"/>
      <c r="N186" s="25"/>
      <c r="O186" s="8"/>
    </row>
    <row r="187">
      <c r="A187" s="23"/>
      <c r="B187" s="7">
        <f>IF(A187="","",INT((A187-Settings!$B$4)/7)+1)</f>
      </c>
      <c r="C187" s="7"/>
      <c r="D187" s="7"/>
      <c r="E187" s="7"/>
      <c r="F187" s="9"/>
      <c r="G187" s="26"/>
      <c r="H187" s="9"/>
      <c r="I187" s="42"/>
      <c r="J187" s="41"/>
      <c r="K187" s="26"/>
      <c r="L187" s="26">
        <f>IF(OR(G187="",H187=""),"",G187*H187)</f>
      </c>
      <c r="M187" s="26"/>
      <c r="N187" s="25"/>
      <c r="O187" s="8"/>
    </row>
    <row r="188">
      <c r="A188" s="23"/>
      <c r="B188" s="7">
        <f>IF(A188="","",INT((A188-Settings!$B$4)/7)+1)</f>
      </c>
      <c r="C188" s="7"/>
      <c r="D188" s="7"/>
      <c r="E188" s="7"/>
      <c r="F188" s="9"/>
      <c r="G188" s="26"/>
      <c r="H188" s="9"/>
      <c r="I188" s="42"/>
      <c r="J188" s="41"/>
      <c r="K188" s="26"/>
      <c r="L188" s="26">
        <f>IF(OR(G188="",H188=""),"",G188*H188)</f>
      </c>
      <c r="M188" s="26"/>
      <c r="N188" s="25"/>
      <c r="O188" s="8"/>
    </row>
    <row r="189">
      <c r="A189" s="23"/>
      <c r="B189" s="7">
        <f>IF(A189="","",INT((A189-Settings!$B$4)/7)+1)</f>
      </c>
      <c r="C189" s="7"/>
      <c r="D189" s="7"/>
      <c r="E189" s="7"/>
      <c r="F189" s="9"/>
      <c r="G189" s="26"/>
      <c r="H189" s="9"/>
      <c r="I189" s="42"/>
      <c r="J189" s="41"/>
      <c r="K189" s="26"/>
      <c r="L189" s="26">
        <f>IF(OR(G189="",H189=""),"",G189*H189)</f>
      </c>
      <c r="M189" s="26"/>
      <c r="N189" s="25"/>
      <c r="O189" s="8"/>
    </row>
    <row r="190">
      <c r="A190" s="23"/>
      <c r="B190" s="7">
        <f>IF(A190="","",INT((A190-Settings!$B$4)/7)+1)</f>
      </c>
      <c r="C190" s="7"/>
      <c r="D190" s="7"/>
      <c r="E190" s="7"/>
      <c r="F190" s="9"/>
      <c r="G190" s="26"/>
      <c r="H190" s="9"/>
      <c r="I190" s="42"/>
      <c r="J190" s="41"/>
      <c r="K190" s="26"/>
      <c r="L190" s="26">
        <f>IF(OR(G190="",H190=""),"",G190*H190)</f>
      </c>
      <c r="M190" s="26"/>
      <c r="N190" s="25"/>
      <c r="O190" s="8"/>
    </row>
    <row r="191">
      <c r="A191" s="23"/>
      <c r="B191" s="7">
        <f>IF(A191="","",INT((A191-Settings!$B$4)/7)+1)</f>
      </c>
      <c r="C191" s="7"/>
      <c r="D191" s="7"/>
      <c r="E191" s="7"/>
      <c r="F191" s="9"/>
      <c r="G191" s="26"/>
      <c r="H191" s="9"/>
      <c r="I191" s="42"/>
      <c r="J191" s="41"/>
      <c r="K191" s="26"/>
      <c r="L191" s="26">
        <f>IF(OR(G191="",H191=""),"",G191*H191)</f>
      </c>
      <c r="M191" s="26"/>
      <c r="N191" s="25"/>
      <c r="O191" s="8"/>
    </row>
    <row r="192">
      <c r="A192" s="23"/>
      <c r="B192" s="7">
        <f>IF(A192="","",INT((A192-Settings!$B$4)/7)+1)</f>
      </c>
      <c r="C192" s="7"/>
      <c r="D192" s="7"/>
      <c r="E192" s="7"/>
      <c r="F192" s="9"/>
      <c r="G192" s="26"/>
      <c r="H192" s="9"/>
      <c r="I192" s="42"/>
      <c r="J192" s="41"/>
      <c r="K192" s="26"/>
      <c r="L192" s="26">
        <f>IF(OR(G192="",H192=""),"",G192*H192)</f>
      </c>
      <c r="M192" s="26"/>
      <c r="N192" s="25"/>
      <c r="O192" s="8"/>
    </row>
    <row r="193">
      <c r="A193" s="23"/>
      <c r="B193" s="7">
        <f>IF(A193="","",INT((A193-Settings!$B$4)/7)+1)</f>
      </c>
      <c r="C193" s="7"/>
      <c r="D193" s="7"/>
      <c r="E193" s="7"/>
      <c r="F193" s="9"/>
      <c r="G193" s="26"/>
      <c r="H193" s="9"/>
      <c r="I193" s="42"/>
      <c r="J193" s="41"/>
      <c r="K193" s="26"/>
      <c r="L193" s="26">
        <f>IF(OR(G193="",H193=""),"",G193*H193)</f>
      </c>
      <c r="M193" s="26"/>
      <c r="N193" s="25"/>
      <c r="O193" s="8"/>
    </row>
    <row r="194">
      <c r="A194" s="23"/>
      <c r="B194" s="7">
        <f>IF(A194="","",INT((A194-Settings!$B$4)/7)+1)</f>
      </c>
      <c r="C194" s="7"/>
      <c r="D194" s="7"/>
      <c r="E194" s="7"/>
      <c r="F194" s="9"/>
      <c r="G194" s="26"/>
      <c r="H194" s="9"/>
      <c r="I194" s="42"/>
      <c r="J194" s="41"/>
      <c r="K194" s="26"/>
      <c r="L194" s="26">
        <f>IF(OR(G194="",H194=""),"",G194*H194)</f>
      </c>
      <c r="M194" s="26"/>
      <c r="N194" s="25"/>
      <c r="O194" s="8"/>
    </row>
    <row r="195">
      <c r="A195" s="23"/>
      <c r="B195" s="7">
        <f>IF(A195="","",INT((A195-Settings!$B$4)/7)+1)</f>
      </c>
      <c r="C195" s="7"/>
      <c r="D195" s="7"/>
      <c r="E195" s="7"/>
      <c r="F195" s="9"/>
      <c r="G195" s="26"/>
      <c r="H195" s="9"/>
      <c r="I195" s="42"/>
      <c r="J195" s="41"/>
      <c r="K195" s="26"/>
      <c r="L195" s="26">
        <f>IF(OR(G195="",H195=""),"",G195*H195)</f>
      </c>
      <c r="M195" s="26"/>
      <c r="N195" s="25"/>
      <c r="O195" s="8"/>
    </row>
    <row r="196">
      <c r="A196" s="23"/>
      <c r="B196" s="7">
        <f>IF(A196="","",INT((A196-Settings!$B$4)/7)+1)</f>
      </c>
      <c r="C196" s="7"/>
      <c r="D196" s="7"/>
      <c r="E196" s="7"/>
      <c r="F196" s="9"/>
      <c r="G196" s="26"/>
      <c r="H196" s="9"/>
      <c r="I196" s="42"/>
      <c r="J196" s="41"/>
      <c r="K196" s="26"/>
      <c r="L196" s="26">
        <f>IF(OR(G196="",H196=""),"",G196*H196)</f>
      </c>
      <c r="M196" s="26"/>
      <c r="N196" s="25"/>
      <c r="O196" s="8"/>
    </row>
    <row r="197">
      <c r="A197" s="23"/>
      <c r="B197" s="7">
        <f>IF(A197="","",INT((A197-Settings!$B$4)/7)+1)</f>
      </c>
      <c r="C197" s="7"/>
      <c r="D197" s="7"/>
      <c r="E197" s="7"/>
      <c r="F197" s="9"/>
      <c r="G197" s="26"/>
      <c r="H197" s="9"/>
      <c r="I197" s="42"/>
      <c r="J197" s="41"/>
      <c r="K197" s="26"/>
      <c r="L197" s="26">
        <f>IF(OR(G197="",H197=""),"",G197*H197)</f>
      </c>
      <c r="M197" s="26"/>
      <c r="N197" s="25"/>
      <c r="O197" s="8"/>
    </row>
    <row r="198">
      <c r="A198" s="23"/>
      <c r="B198" s="7">
        <f>IF(A198="","",INT((A198-Settings!$B$4)/7)+1)</f>
      </c>
      <c r="C198" s="7"/>
      <c r="D198" s="7"/>
      <c r="E198" s="7"/>
      <c r="F198" s="9"/>
      <c r="G198" s="26"/>
      <c r="H198" s="9"/>
      <c r="I198" s="42"/>
      <c r="J198" s="41"/>
      <c r="K198" s="26"/>
      <c r="L198" s="26">
        <f>IF(OR(G198="",H198=""),"",G198*H198)</f>
      </c>
      <c r="M198" s="26"/>
      <c r="N198" s="25"/>
      <c r="O198" s="8"/>
    </row>
    <row r="199">
      <c r="A199" s="23"/>
      <c r="B199" s="7">
        <f>IF(A199="","",INT((A199-Settings!$B$4)/7)+1)</f>
      </c>
      <c r="C199" s="7"/>
      <c r="D199" s="7"/>
      <c r="E199" s="7"/>
      <c r="F199" s="9"/>
      <c r="G199" s="26"/>
      <c r="H199" s="9"/>
      <c r="I199" s="42"/>
      <c r="J199" s="41"/>
      <c r="K199" s="26"/>
      <c r="L199" s="26">
        <f>IF(OR(G199="",H199=""),"",G199*H199)</f>
      </c>
      <c r="M199" s="26"/>
      <c r="N199" s="25"/>
      <c r="O199" s="8"/>
    </row>
    <row r="200">
      <c r="A200" s="23"/>
      <c r="B200" s="7">
        <f>IF(A200="","",INT((A200-Settings!$B$4)/7)+1)</f>
      </c>
      <c r="C200" s="7"/>
      <c r="D200" s="7"/>
      <c r="E200" s="7"/>
      <c r="F200" s="9"/>
      <c r="G200" s="26"/>
      <c r="H200" s="9"/>
      <c r="I200" s="42"/>
      <c r="J200" s="41"/>
      <c r="K200" s="26"/>
      <c r="L200" s="26">
        <f>IF(OR(G200="",H200=""),"",G200*H200)</f>
      </c>
      <c r="M200" s="26"/>
      <c r="N200" s="25"/>
      <c r="O200" s="8"/>
    </row>
    <row r="201">
      <c r="A201" s="23"/>
      <c r="B201" s="7">
        <f>IF(A201="","",INT((A201-Settings!$B$4)/7)+1)</f>
      </c>
      <c r="C201" s="7"/>
      <c r="D201" s="7"/>
      <c r="E201" s="7"/>
      <c r="F201" s="9"/>
      <c r="G201" s="26"/>
      <c r="H201" s="9"/>
      <c r="I201" s="42"/>
      <c r="J201" s="41"/>
      <c r="K201" s="26"/>
      <c r="L201" s="26">
        <f>IF(OR(G201="",H201=""),"",G201*H201)</f>
      </c>
      <c r="M201" s="26"/>
      <c r="N201" s="25"/>
      <c r="O201" s="8"/>
    </row>
    <row r="202">
      <c r="A202" s="23"/>
      <c r="B202" s="7">
        <f>IF(A202="","",INT((A202-Settings!$B$4)/7)+1)</f>
      </c>
      <c r="C202" s="7"/>
      <c r="D202" s="7"/>
      <c r="E202" s="7"/>
      <c r="F202" s="9"/>
      <c r="G202" s="26"/>
      <c r="H202" s="9"/>
      <c r="I202" s="42"/>
      <c r="J202" s="41"/>
      <c r="K202" s="26"/>
      <c r="L202" s="26">
        <f>IF(OR(G202="",H202=""),"",G202*H202)</f>
      </c>
      <c r="M202" s="26"/>
      <c r="N202" s="25"/>
      <c r="O202" s="8"/>
    </row>
    <row r="203">
      <c r="A203" s="23"/>
      <c r="B203" s="7">
        <f>IF(A203="","",INT((A203-Settings!$B$4)/7)+1)</f>
      </c>
      <c r="C203" s="7"/>
      <c r="D203" s="7"/>
      <c r="E203" s="7"/>
      <c r="F203" s="9"/>
      <c r="G203" s="26"/>
      <c r="H203" s="9"/>
      <c r="I203" s="42"/>
      <c r="J203" s="41"/>
      <c r="K203" s="26"/>
      <c r="L203" s="26">
        <f>IF(OR(G203="",H203=""),"",G203*H203)</f>
      </c>
      <c r="M203" s="26"/>
      <c r="N203" s="25"/>
      <c r="O203" s="8"/>
    </row>
    <row r="204">
      <c r="A204" s="23"/>
      <c r="B204" s="7">
        <f>IF(A204="","",INT((A204-Settings!$B$4)/7)+1)</f>
      </c>
      <c r="C204" s="7"/>
      <c r="D204" s="7"/>
      <c r="E204" s="7"/>
      <c r="F204" s="9"/>
      <c r="G204" s="26"/>
      <c r="H204" s="9"/>
      <c r="I204" s="42"/>
      <c r="J204" s="41"/>
      <c r="K204" s="26"/>
      <c r="L204" s="26">
        <f>IF(OR(G204="",H204=""),"",G204*H204)</f>
      </c>
      <c r="M204" s="26"/>
      <c r="N204" s="25"/>
      <c r="O204" s="8"/>
    </row>
    <row r="205">
      <c r="A205" s="23"/>
      <c r="B205" s="7">
        <f>IF(A205="","",INT((A205-Settings!$B$4)/7)+1)</f>
      </c>
      <c r="C205" s="7"/>
      <c r="D205" s="7"/>
      <c r="E205" s="7"/>
      <c r="F205" s="9"/>
      <c r="G205" s="26"/>
      <c r="H205" s="9"/>
      <c r="I205" s="42"/>
      <c r="J205" s="41"/>
      <c r="K205" s="26"/>
      <c r="L205" s="26">
        <f>IF(OR(G205="",H205=""),"",G205*H205)</f>
      </c>
      <c r="M205" s="26"/>
      <c r="N205" s="25"/>
      <c r="O205" s="8"/>
    </row>
    <row r="206">
      <c r="A206" s="23"/>
      <c r="B206" s="7">
        <f>IF(A206="","",INT((A206-Settings!$B$4)/7)+1)</f>
      </c>
      <c r="C206" s="7"/>
      <c r="D206" s="7"/>
      <c r="E206" s="7"/>
      <c r="F206" s="9"/>
      <c r="G206" s="26"/>
      <c r="H206" s="9"/>
      <c r="I206" s="42"/>
      <c r="J206" s="41"/>
      <c r="K206" s="26"/>
      <c r="L206" s="26">
        <f>IF(OR(G206="",H206=""),"",G206*H206)</f>
      </c>
      <c r="M206" s="26"/>
      <c r="N206" s="25"/>
      <c r="O206" s="8"/>
    </row>
    <row r="207">
      <c r="A207" s="23"/>
      <c r="B207" s="7">
        <f>IF(A207="","",INT((A207-Settings!$B$4)/7)+1)</f>
      </c>
      <c r="C207" s="7"/>
      <c r="D207" s="7"/>
      <c r="E207" s="7"/>
      <c r="F207" s="9"/>
      <c r="G207" s="26"/>
      <c r="H207" s="9"/>
      <c r="I207" s="42"/>
      <c r="J207" s="41"/>
      <c r="K207" s="26"/>
      <c r="L207" s="26">
        <f>IF(OR(G207="",H207=""),"",G207*H207)</f>
      </c>
      <c r="M207" s="26"/>
      <c r="N207" s="25"/>
      <c r="O207" s="8"/>
    </row>
    <row r="208">
      <c r="A208" s="23"/>
      <c r="B208" s="7">
        <f>IF(A208="","",INT((A208-Settings!$B$4)/7)+1)</f>
      </c>
      <c r="C208" s="7"/>
      <c r="D208" s="7"/>
      <c r="E208" s="7"/>
      <c r="F208" s="9"/>
      <c r="G208" s="26"/>
      <c r="H208" s="9"/>
      <c r="I208" s="42"/>
      <c r="J208" s="41"/>
      <c r="K208" s="26"/>
      <c r="L208" s="26">
        <f>IF(OR(G208="",H208=""),"",G208*H208)</f>
      </c>
      <c r="M208" s="26"/>
      <c r="N208" s="25"/>
      <c r="O208" s="8"/>
    </row>
    <row r="209">
      <c r="A209" s="23"/>
      <c r="B209" s="7">
        <f>IF(A209="","",INT((A209-Settings!$B$4)/7)+1)</f>
      </c>
      <c r="C209" s="7"/>
      <c r="D209" s="7"/>
      <c r="E209" s="7"/>
      <c r="F209" s="9"/>
      <c r="G209" s="26"/>
      <c r="H209" s="9"/>
      <c r="I209" s="42"/>
      <c r="J209" s="41"/>
      <c r="K209" s="26"/>
      <c r="L209" s="26">
        <f>IF(OR(G209="",H209=""),"",G209*H209)</f>
      </c>
      <c r="M209" s="26"/>
      <c r="N209" s="25"/>
      <c r="O209" s="8"/>
    </row>
    <row r="210">
      <c r="A210" s="23"/>
      <c r="B210" s="7">
        <f>IF(A210="","",INT((A210-Settings!$B$4)/7)+1)</f>
      </c>
      <c r="C210" s="7"/>
      <c r="D210" s="7"/>
      <c r="E210" s="7"/>
      <c r="F210" s="9"/>
      <c r="G210" s="26"/>
      <c r="H210" s="9"/>
      <c r="I210" s="42"/>
      <c r="J210" s="41"/>
      <c r="K210" s="26"/>
      <c r="L210" s="26">
        <f>IF(OR(G210="",H210=""),"",G210*H210)</f>
      </c>
      <c r="M210" s="26"/>
      <c r="N210" s="25"/>
      <c r="O210" s="8"/>
    </row>
    <row r="211">
      <c r="A211" s="23"/>
      <c r="B211" s="7">
        <f>IF(A211="","",INT((A211-Settings!$B$4)/7)+1)</f>
      </c>
      <c r="C211" s="7"/>
      <c r="D211" s="7"/>
      <c r="E211" s="7"/>
      <c r="F211" s="9"/>
      <c r="G211" s="26"/>
      <c r="H211" s="9"/>
      <c r="I211" s="42"/>
      <c r="J211" s="41"/>
      <c r="K211" s="26"/>
      <c r="L211" s="26">
        <f>IF(OR(G211="",H211=""),"",G211*H211)</f>
      </c>
      <c r="M211" s="26"/>
      <c r="N211" s="25"/>
      <c r="O211" s="8"/>
    </row>
    <row r="212">
      <c r="A212" s="23"/>
      <c r="B212" s="7">
        <f>IF(A212="","",INT((A212-Settings!$B$4)/7)+1)</f>
      </c>
      <c r="C212" s="7"/>
      <c r="D212" s="7"/>
      <c r="E212" s="7"/>
      <c r="F212" s="9"/>
      <c r="G212" s="26"/>
      <c r="H212" s="9"/>
      <c r="I212" s="42"/>
      <c r="J212" s="41"/>
      <c r="K212" s="26"/>
      <c r="L212" s="26">
        <f>IF(OR(G212="",H212=""),"",G212*H212)</f>
      </c>
      <c r="M212" s="26"/>
      <c r="N212" s="25"/>
      <c r="O212" s="8"/>
    </row>
    <row r="213">
      <c r="A213" s="23"/>
      <c r="B213" s="7">
        <f>IF(A213="","",INT((A213-Settings!$B$4)/7)+1)</f>
      </c>
      <c r="C213" s="7"/>
      <c r="D213" s="7"/>
      <c r="E213" s="7"/>
      <c r="F213" s="9"/>
      <c r="G213" s="26"/>
      <c r="H213" s="9"/>
      <c r="I213" s="42"/>
      <c r="J213" s="41"/>
      <c r="K213" s="26"/>
      <c r="L213" s="26">
        <f>IF(OR(G213="",H213=""),"",G213*H213)</f>
      </c>
      <c r="M213" s="26"/>
      <c r="N213" s="25"/>
      <c r="O213" s="8"/>
    </row>
    <row r="214">
      <c r="A214" s="23"/>
      <c r="B214" s="7">
        <f>IF(A214="","",INT((A214-Settings!$B$4)/7)+1)</f>
      </c>
      <c r="C214" s="7"/>
      <c r="D214" s="7"/>
      <c r="E214" s="7"/>
      <c r="F214" s="9"/>
      <c r="G214" s="26"/>
      <c r="H214" s="9"/>
      <c r="I214" s="42"/>
      <c r="J214" s="41"/>
      <c r="K214" s="26"/>
      <c r="L214" s="26">
        <f>IF(OR(G214="",H214=""),"",G214*H214)</f>
      </c>
      <c r="M214" s="26"/>
      <c r="N214" s="25"/>
      <c r="O214" s="8"/>
    </row>
    <row r="215">
      <c r="A215" s="23"/>
      <c r="B215" s="7">
        <f>IF(A215="","",INT((A215-Settings!$B$4)/7)+1)</f>
      </c>
      <c r="C215" s="7"/>
      <c r="D215" s="7"/>
      <c r="E215" s="7"/>
      <c r="F215" s="9"/>
      <c r="G215" s="26"/>
      <c r="H215" s="9"/>
      <c r="I215" s="42"/>
      <c r="J215" s="41"/>
      <c r="K215" s="26"/>
      <c r="L215" s="26">
        <f>IF(OR(G215="",H215=""),"",G215*H215)</f>
      </c>
      <c r="M215" s="26"/>
      <c r="N215" s="25"/>
      <c r="O215" s="8"/>
    </row>
    <row r="216">
      <c r="A216" s="23"/>
      <c r="B216" s="7">
        <f>IF(A216="","",INT((A216-Settings!$B$4)/7)+1)</f>
      </c>
      <c r="C216" s="7"/>
      <c r="D216" s="7"/>
      <c r="E216" s="7"/>
      <c r="F216" s="9"/>
      <c r="G216" s="26"/>
      <c r="H216" s="9"/>
      <c r="I216" s="42"/>
      <c r="J216" s="41"/>
      <c r="K216" s="26"/>
      <c r="L216" s="26">
        <f>IF(OR(G216="",H216=""),"",G216*H216)</f>
      </c>
      <c r="M216" s="26"/>
      <c r="N216" s="25"/>
      <c r="O216" s="8"/>
    </row>
    <row r="217">
      <c r="A217" s="23"/>
      <c r="B217" s="7">
        <f>IF(A217="","",INT((A217-Settings!$B$4)/7)+1)</f>
      </c>
      <c r="C217" s="7"/>
      <c r="D217" s="7"/>
      <c r="E217" s="7"/>
      <c r="F217" s="9"/>
      <c r="G217" s="26"/>
      <c r="H217" s="9"/>
      <c r="I217" s="42"/>
      <c r="J217" s="41"/>
      <c r="K217" s="26"/>
      <c r="L217" s="26">
        <f>IF(OR(G217="",H217=""),"",G217*H217)</f>
      </c>
      <c r="M217" s="26"/>
      <c r="N217" s="25"/>
      <c r="O217" s="8"/>
    </row>
    <row r="218">
      <c r="A218" s="23"/>
      <c r="B218" s="7">
        <f>IF(A218="","",INT((A218-Settings!$B$4)/7)+1)</f>
      </c>
      <c r="C218" s="7"/>
      <c r="D218" s="7"/>
      <c r="E218" s="7"/>
      <c r="F218" s="9"/>
      <c r="G218" s="26"/>
      <c r="H218" s="9"/>
      <c r="I218" s="42"/>
      <c r="J218" s="41"/>
      <c r="K218" s="26"/>
      <c r="L218" s="26">
        <f>IF(OR(G218="",H218=""),"",G218*H218)</f>
      </c>
      <c r="M218" s="26"/>
      <c r="N218" s="25"/>
      <c r="O218" s="8"/>
    </row>
    <row r="219">
      <c r="A219" s="23"/>
      <c r="B219" s="7">
        <f>IF(A219="","",INT((A219-Settings!$B$4)/7)+1)</f>
      </c>
      <c r="C219" s="7"/>
      <c r="D219" s="7"/>
      <c r="E219" s="7"/>
      <c r="F219" s="9"/>
      <c r="G219" s="26"/>
      <c r="H219" s="9"/>
      <c r="I219" s="42"/>
      <c r="J219" s="41"/>
      <c r="K219" s="26"/>
      <c r="L219" s="26">
        <f>IF(OR(G219="",H219=""),"",G219*H219)</f>
      </c>
      <c r="M219" s="26"/>
      <c r="N219" s="25"/>
      <c r="O219" s="8"/>
    </row>
    <row r="220">
      <c r="A220" s="23"/>
      <c r="B220" s="7">
        <f>IF(A220="","",INT((A220-Settings!$B$4)/7)+1)</f>
      </c>
      <c r="C220" s="7"/>
      <c r="D220" s="7"/>
      <c r="E220" s="7"/>
      <c r="F220" s="9"/>
      <c r="G220" s="26"/>
      <c r="H220" s="9"/>
      <c r="I220" s="42"/>
      <c r="J220" s="41"/>
      <c r="K220" s="26"/>
      <c r="L220" s="26">
        <f>IF(OR(G220="",H220=""),"",G220*H220)</f>
      </c>
      <c r="M220" s="26"/>
      <c r="N220" s="25"/>
      <c r="O220" s="8"/>
    </row>
    <row r="221">
      <c r="A221" s="23"/>
      <c r="B221" s="7">
        <f>IF(A221="","",INT((A221-Settings!$B$4)/7)+1)</f>
      </c>
      <c r="C221" s="7"/>
      <c r="D221" s="7"/>
      <c r="E221" s="7"/>
      <c r="F221" s="9"/>
      <c r="G221" s="26"/>
      <c r="H221" s="9"/>
      <c r="I221" s="42"/>
      <c r="J221" s="41"/>
      <c r="K221" s="26"/>
      <c r="L221" s="26">
        <f>IF(OR(G221="",H221=""),"",G221*H221)</f>
      </c>
      <c r="M221" s="26"/>
      <c r="N221" s="25"/>
      <c r="O221" s="8"/>
    </row>
    <row r="222">
      <c r="A222" s="23"/>
      <c r="B222" s="7">
        <f>IF(A222="","",INT((A222-Settings!$B$4)/7)+1)</f>
      </c>
      <c r="C222" s="7"/>
      <c r="D222" s="7"/>
      <c r="E222" s="7"/>
      <c r="F222" s="9"/>
      <c r="G222" s="26"/>
      <c r="H222" s="9"/>
      <c r="I222" s="42"/>
      <c r="J222" s="41"/>
      <c r="K222" s="26"/>
      <c r="L222" s="26">
        <f>IF(OR(G222="",H222=""),"",G222*H222)</f>
      </c>
      <c r="M222" s="26"/>
      <c r="N222" s="25"/>
      <c r="O222" s="8"/>
    </row>
    <row r="223">
      <c r="A223" s="23"/>
      <c r="B223" s="7">
        <f>IF(A223="","",INT((A223-Settings!$B$4)/7)+1)</f>
      </c>
      <c r="C223" s="7"/>
      <c r="D223" s="7"/>
      <c r="E223" s="7"/>
      <c r="F223" s="9"/>
      <c r="G223" s="26"/>
      <c r="H223" s="9"/>
      <c r="I223" s="42"/>
      <c r="J223" s="41"/>
      <c r="K223" s="26"/>
      <c r="L223" s="26">
        <f>IF(OR(G223="",H223=""),"",G223*H223)</f>
      </c>
      <c r="M223" s="26"/>
      <c r="N223" s="25"/>
      <c r="O223" s="8"/>
    </row>
    <row r="224">
      <c r="A224" s="23"/>
      <c r="B224" s="7">
        <f>IF(A224="","",INT((A224-Settings!$B$4)/7)+1)</f>
      </c>
      <c r="C224" s="7"/>
      <c r="D224" s="7"/>
      <c r="E224" s="7"/>
      <c r="F224" s="9"/>
      <c r="G224" s="26"/>
      <c r="H224" s="9"/>
      <c r="I224" s="42"/>
      <c r="J224" s="41"/>
      <c r="K224" s="26"/>
      <c r="L224" s="26">
        <f>IF(OR(G224="",H224=""),"",G224*H224)</f>
      </c>
      <c r="M224" s="26"/>
      <c r="N224" s="25"/>
      <c r="O224" s="8"/>
    </row>
    <row r="225">
      <c r="A225" s="23"/>
      <c r="B225" s="7">
        <f>IF(A225="","",INT((A225-Settings!$B$4)/7)+1)</f>
      </c>
      <c r="C225" s="7"/>
      <c r="D225" s="7"/>
      <c r="E225" s="7"/>
      <c r="F225" s="9"/>
      <c r="G225" s="26"/>
      <c r="H225" s="9"/>
      <c r="I225" s="42"/>
      <c r="J225" s="41"/>
      <c r="K225" s="26"/>
      <c r="L225" s="26">
        <f>IF(OR(G225="",H225=""),"",G225*H225)</f>
      </c>
      <c r="M225" s="26"/>
      <c r="N225" s="25"/>
      <c r="O225" s="8"/>
    </row>
    <row r="226">
      <c r="A226" s="23"/>
      <c r="B226" s="7">
        <f>IF(A226="","",INT((A226-Settings!$B$4)/7)+1)</f>
      </c>
      <c r="C226" s="7"/>
      <c r="D226" s="7"/>
      <c r="E226" s="7"/>
      <c r="F226" s="9"/>
      <c r="G226" s="26"/>
      <c r="H226" s="9"/>
      <c r="I226" s="42"/>
      <c r="J226" s="41"/>
      <c r="K226" s="26"/>
      <c r="L226" s="26">
        <f>IF(OR(G226="",H226=""),"",G226*H226)</f>
      </c>
      <c r="M226" s="26"/>
      <c r="N226" s="25"/>
      <c r="O226" s="8"/>
    </row>
    <row r="227">
      <c r="A227" s="23"/>
      <c r="B227" s="7">
        <f>IF(A227="","",INT((A227-Settings!$B$4)/7)+1)</f>
      </c>
      <c r="C227" s="7"/>
      <c r="D227" s="7"/>
      <c r="E227" s="7"/>
      <c r="F227" s="9"/>
      <c r="G227" s="26"/>
      <c r="H227" s="9"/>
      <c r="I227" s="42"/>
      <c r="J227" s="41"/>
      <c r="K227" s="26"/>
      <c r="L227" s="26">
        <f>IF(OR(G227="",H227=""),"",G227*H227)</f>
      </c>
      <c r="M227" s="26"/>
      <c r="N227" s="25"/>
      <c r="O227" s="8"/>
    </row>
    <row r="228">
      <c r="A228" s="23"/>
      <c r="B228" s="7">
        <f>IF(A228="","",INT((A228-Settings!$B$4)/7)+1)</f>
      </c>
      <c r="C228" s="7"/>
      <c r="D228" s="7"/>
      <c r="E228" s="7"/>
      <c r="F228" s="9"/>
      <c r="G228" s="26"/>
      <c r="H228" s="9"/>
      <c r="I228" s="42"/>
      <c r="J228" s="41"/>
      <c r="K228" s="26"/>
      <c r="L228" s="26">
        <f>IF(OR(G228="",H228=""),"",G228*H228)</f>
      </c>
      <c r="M228" s="26"/>
      <c r="N228" s="25"/>
      <c r="O228" s="8"/>
    </row>
    <row r="229">
      <c r="A229" s="23"/>
      <c r="B229" s="7">
        <f>IF(A229="","",INT((A229-Settings!$B$4)/7)+1)</f>
      </c>
      <c r="C229" s="7"/>
      <c r="D229" s="7"/>
      <c r="E229" s="7"/>
      <c r="F229" s="9"/>
      <c r="G229" s="26"/>
      <c r="H229" s="9"/>
      <c r="I229" s="42"/>
      <c r="J229" s="41"/>
      <c r="K229" s="26"/>
      <c r="L229" s="26">
        <f>IF(OR(G229="",H229=""),"",G229*H229)</f>
      </c>
      <c r="M229" s="26"/>
      <c r="N229" s="25"/>
      <c r="O229" s="8"/>
    </row>
    <row r="230">
      <c r="A230" s="23"/>
      <c r="B230" s="7">
        <f>IF(A230="","",INT((A230-Settings!$B$4)/7)+1)</f>
      </c>
      <c r="C230" s="7"/>
      <c r="D230" s="7"/>
      <c r="E230" s="7"/>
      <c r="F230" s="9"/>
      <c r="G230" s="26"/>
      <c r="H230" s="9"/>
      <c r="I230" s="42"/>
      <c r="J230" s="41"/>
      <c r="K230" s="26"/>
      <c r="L230" s="26">
        <f>IF(OR(G230="",H230=""),"",G230*H230)</f>
      </c>
      <c r="M230" s="26"/>
      <c r="N230" s="25"/>
      <c r="O230" s="8"/>
    </row>
    <row r="231">
      <c r="A231" s="23"/>
      <c r="B231" s="7">
        <f>IF(A231="","",INT((A231-Settings!$B$4)/7)+1)</f>
      </c>
      <c r="C231" s="7"/>
      <c r="D231" s="7"/>
      <c r="E231" s="7"/>
      <c r="F231" s="9"/>
      <c r="G231" s="26"/>
      <c r="H231" s="9"/>
      <c r="I231" s="42"/>
      <c r="J231" s="41"/>
      <c r="K231" s="26"/>
      <c r="L231" s="26">
        <f>IF(OR(G231="",H231=""),"",G231*H231)</f>
      </c>
      <c r="M231" s="26"/>
      <c r="N231" s="25"/>
      <c r="O231" s="8"/>
    </row>
    <row r="232">
      <c r="A232" s="23"/>
      <c r="B232" s="7">
        <f>IF(A232="","",INT((A232-Settings!$B$4)/7)+1)</f>
      </c>
      <c r="C232" s="7"/>
      <c r="D232" s="7"/>
      <c r="E232" s="7"/>
      <c r="F232" s="9"/>
      <c r="G232" s="26"/>
      <c r="H232" s="9"/>
      <c r="I232" s="42"/>
      <c r="J232" s="41"/>
      <c r="K232" s="26"/>
      <c r="L232" s="26">
        <f>IF(OR(G232="",H232=""),"",G232*H232)</f>
      </c>
      <c r="M232" s="26"/>
      <c r="N232" s="25"/>
      <c r="O232" s="8"/>
    </row>
    <row r="233">
      <c r="A233" s="23"/>
      <c r="B233" s="7">
        <f>IF(A233="","",INT((A233-Settings!$B$4)/7)+1)</f>
      </c>
      <c r="C233" s="7"/>
      <c r="D233" s="7"/>
      <c r="E233" s="7"/>
      <c r="F233" s="9"/>
      <c r="G233" s="26"/>
      <c r="H233" s="9"/>
      <c r="I233" s="42"/>
      <c r="J233" s="41"/>
      <c r="K233" s="26"/>
      <c r="L233" s="26">
        <f>IF(OR(G233="",H233=""),"",G233*H233)</f>
      </c>
      <c r="M233" s="26"/>
      <c r="N233" s="25"/>
      <c r="O233" s="8"/>
    </row>
    <row r="234">
      <c r="A234" s="23"/>
      <c r="B234" s="7">
        <f>IF(A234="","",INT((A234-Settings!$B$4)/7)+1)</f>
      </c>
      <c r="C234" s="7"/>
      <c r="D234" s="7"/>
      <c r="E234" s="7"/>
      <c r="F234" s="9"/>
      <c r="G234" s="26"/>
      <c r="H234" s="9"/>
      <c r="I234" s="42"/>
      <c r="J234" s="41"/>
      <c r="K234" s="26"/>
      <c r="L234" s="26">
        <f>IF(OR(G234="",H234=""),"",G234*H234)</f>
      </c>
      <c r="M234" s="26"/>
      <c r="N234" s="25"/>
      <c r="O234" s="8"/>
    </row>
    <row r="235">
      <c r="A235" s="23"/>
      <c r="B235" s="7">
        <f>IF(A235="","",INT((A235-Settings!$B$4)/7)+1)</f>
      </c>
      <c r="C235" s="7"/>
      <c r="D235" s="7"/>
      <c r="E235" s="7"/>
      <c r="F235" s="9"/>
      <c r="G235" s="26"/>
      <c r="H235" s="9"/>
      <c r="I235" s="42"/>
      <c r="J235" s="41"/>
      <c r="K235" s="26"/>
      <c r="L235" s="26">
        <f>IF(OR(G235="",H235=""),"",G235*H235)</f>
      </c>
      <c r="M235" s="26"/>
      <c r="N235" s="25"/>
      <c r="O235" s="8"/>
    </row>
    <row r="236">
      <c r="A236" s="23"/>
      <c r="B236" s="7">
        <f>IF(A236="","",INT((A236-Settings!$B$4)/7)+1)</f>
      </c>
      <c r="C236" s="7"/>
      <c r="D236" s="7"/>
      <c r="E236" s="7"/>
      <c r="F236" s="9"/>
      <c r="G236" s="26"/>
      <c r="H236" s="9"/>
      <c r="I236" s="42"/>
      <c r="J236" s="41"/>
      <c r="K236" s="26"/>
      <c r="L236" s="26">
        <f>IF(OR(G236="",H236=""),"",G236*H236)</f>
      </c>
      <c r="M236" s="26"/>
      <c r="N236" s="25"/>
      <c r="O236" s="8"/>
    </row>
    <row r="237">
      <c r="A237" s="23"/>
      <c r="B237" s="7">
        <f>IF(A237="","",INT((A237-Settings!$B$4)/7)+1)</f>
      </c>
      <c r="C237" s="7"/>
      <c r="D237" s="7"/>
      <c r="E237" s="7"/>
      <c r="F237" s="9"/>
      <c r="G237" s="26"/>
      <c r="H237" s="9"/>
      <c r="I237" s="42"/>
      <c r="J237" s="41"/>
      <c r="K237" s="26"/>
      <c r="L237" s="26">
        <f>IF(OR(G237="",H237=""),"",G237*H237)</f>
      </c>
      <c r="M237" s="26"/>
      <c r="N237" s="25"/>
      <c r="O237" s="8"/>
    </row>
    <row r="238">
      <c r="A238" s="23"/>
      <c r="B238" s="7">
        <f>IF(A238="","",INT((A238-Settings!$B$4)/7)+1)</f>
      </c>
      <c r="C238" s="7"/>
      <c r="D238" s="7"/>
      <c r="E238" s="7"/>
      <c r="F238" s="9"/>
      <c r="G238" s="26"/>
      <c r="H238" s="9"/>
      <c r="I238" s="42"/>
      <c r="J238" s="41"/>
      <c r="K238" s="26"/>
      <c r="L238" s="26">
        <f>IF(OR(G238="",H238=""),"",G238*H238)</f>
      </c>
      <c r="M238" s="26"/>
      <c r="N238" s="25"/>
      <c r="O238" s="8"/>
    </row>
    <row r="239">
      <c r="A239" s="23"/>
      <c r="B239" s="7">
        <f>IF(A239="","",INT((A239-Settings!$B$4)/7)+1)</f>
      </c>
      <c r="C239" s="7"/>
      <c r="D239" s="7"/>
      <c r="E239" s="7"/>
      <c r="F239" s="9"/>
      <c r="G239" s="26"/>
      <c r="H239" s="9"/>
      <c r="I239" s="42"/>
      <c r="J239" s="41"/>
      <c r="K239" s="26"/>
      <c r="L239" s="26">
        <f>IF(OR(G239="",H239=""),"",G239*H239)</f>
      </c>
      <c r="M239" s="26"/>
      <c r="N239" s="25"/>
      <c r="O239" s="8"/>
    </row>
    <row r="240">
      <c r="A240" s="23"/>
      <c r="B240" s="7">
        <f>IF(A240="","",INT((A240-Settings!$B$4)/7)+1)</f>
      </c>
      <c r="C240" s="7"/>
      <c r="D240" s="7"/>
      <c r="E240" s="7"/>
      <c r="F240" s="9"/>
      <c r="G240" s="26"/>
      <c r="H240" s="9"/>
      <c r="I240" s="42"/>
      <c r="J240" s="41"/>
      <c r="K240" s="26"/>
      <c r="L240" s="26">
        <f>IF(OR(G240="",H240=""),"",G240*H240)</f>
      </c>
      <c r="M240" s="26"/>
      <c r="N240" s="25"/>
      <c r="O240" s="8"/>
    </row>
    <row r="241">
      <c r="A241" s="23"/>
      <c r="B241" s="7">
        <f>IF(A241="","",INT((A241-Settings!$B$4)/7)+1)</f>
      </c>
      <c r="C241" s="7"/>
      <c r="D241" s="7"/>
      <c r="E241" s="7"/>
      <c r="F241" s="9"/>
      <c r="G241" s="26"/>
      <c r="H241" s="9"/>
      <c r="I241" s="42"/>
      <c r="J241" s="41"/>
      <c r="K241" s="26"/>
      <c r="L241" s="26">
        <f>IF(OR(G241="",H241=""),"",G241*H241)</f>
      </c>
      <c r="M241" s="26"/>
      <c r="N241" s="25"/>
      <c r="O241" s="8"/>
    </row>
    <row r="242">
      <c r="A242" s="23"/>
      <c r="B242" s="7">
        <f>IF(A242="","",INT((A242-Settings!$B$4)/7)+1)</f>
      </c>
      <c r="C242" s="7"/>
      <c r="D242" s="7"/>
      <c r="E242" s="7"/>
      <c r="F242" s="9"/>
      <c r="G242" s="26"/>
      <c r="H242" s="9"/>
      <c r="I242" s="42"/>
      <c r="J242" s="41"/>
      <c r="K242" s="26"/>
      <c r="L242" s="26">
        <f>IF(OR(G242="",H242=""),"",G242*H242)</f>
      </c>
      <c r="M242" s="26"/>
      <c r="N242" s="25"/>
      <c r="O242" s="8"/>
    </row>
    <row r="243">
      <c r="A243" s="23"/>
      <c r="B243" s="7">
        <f>IF(A243="","",INT((A243-Settings!$B$4)/7)+1)</f>
      </c>
      <c r="C243" s="7"/>
      <c r="D243" s="7"/>
      <c r="E243" s="7"/>
      <c r="F243" s="9"/>
      <c r="G243" s="26"/>
      <c r="H243" s="9"/>
      <c r="I243" s="42"/>
      <c r="J243" s="41"/>
      <c r="K243" s="26"/>
      <c r="L243" s="26">
        <f>IF(OR(G243="",H243=""),"",G243*H243)</f>
      </c>
      <c r="M243" s="26"/>
      <c r="N243" s="25"/>
      <c r="O243" s="8"/>
    </row>
    <row r="244">
      <c r="A244" s="23"/>
      <c r="B244" s="7">
        <f>IF(A244="","",INT((A244-Settings!$B$4)/7)+1)</f>
      </c>
      <c r="C244" s="7"/>
      <c r="D244" s="7"/>
      <c r="E244" s="7"/>
      <c r="F244" s="9"/>
      <c r="G244" s="26"/>
      <c r="H244" s="9"/>
      <c r="I244" s="42"/>
      <c r="J244" s="41"/>
      <c r="K244" s="26"/>
      <c r="L244" s="26">
        <f>IF(OR(G244="",H244=""),"",G244*H244)</f>
      </c>
      <c r="M244" s="26"/>
      <c r="N244" s="25"/>
      <c r="O244" s="8"/>
    </row>
    <row r="245">
      <c r="A245" s="23"/>
      <c r="B245" s="7">
        <f>IF(A245="","",INT((A245-Settings!$B$4)/7)+1)</f>
      </c>
      <c r="C245" s="7"/>
      <c r="D245" s="7"/>
      <c r="E245" s="7"/>
      <c r="F245" s="9"/>
      <c r="G245" s="26"/>
      <c r="H245" s="9"/>
      <c r="I245" s="42"/>
      <c r="J245" s="41"/>
      <c r="K245" s="26"/>
      <c r="L245" s="26">
        <f>IF(OR(G245="",H245=""),"",G245*H245)</f>
      </c>
      <c r="M245" s="26"/>
      <c r="N245" s="25"/>
      <c r="O245" s="8"/>
    </row>
    <row r="246">
      <c r="A246" s="23"/>
      <c r="B246" s="7">
        <f>IF(A246="","",INT((A246-Settings!$B$4)/7)+1)</f>
      </c>
      <c r="C246" s="7"/>
      <c r="D246" s="7"/>
      <c r="E246" s="7"/>
      <c r="F246" s="9"/>
      <c r="G246" s="26"/>
      <c r="H246" s="9"/>
      <c r="I246" s="42"/>
      <c r="J246" s="41"/>
      <c r="K246" s="26"/>
      <c r="L246" s="26">
        <f>IF(OR(G246="",H246=""),"",G246*H246)</f>
      </c>
      <c r="M246" s="26"/>
      <c r="N246" s="25"/>
      <c r="O246" s="8"/>
    </row>
    <row r="247">
      <c r="A247" s="23"/>
      <c r="B247" s="7">
        <f>IF(A247="","",INT((A247-Settings!$B$4)/7)+1)</f>
      </c>
      <c r="C247" s="7"/>
      <c r="D247" s="7"/>
      <c r="E247" s="7"/>
      <c r="F247" s="9"/>
      <c r="G247" s="26"/>
      <c r="H247" s="9"/>
      <c r="I247" s="42"/>
      <c r="J247" s="41"/>
      <c r="K247" s="26"/>
      <c r="L247" s="26">
        <f>IF(OR(G247="",H247=""),"",G247*H247)</f>
      </c>
      <c r="M247" s="26"/>
      <c r="N247" s="25"/>
      <c r="O247" s="8"/>
    </row>
    <row r="248">
      <c r="A248" s="23"/>
      <c r="B248" s="7">
        <f>IF(A248="","",INT((A248-Settings!$B$4)/7)+1)</f>
      </c>
      <c r="C248" s="7"/>
      <c r="D248" s="7"/>
      <c r="E248" s="7"/>
      <c r="F248" s="9"/>
      <c r="G248" s="26"/>
      <c r="H248" s="9"/>
      <c r="I248" s="42"/>
      <c r="J248" s="41"/>
      <c r="K248" s="26"/>
      <c r="L248" s="26">
        <f>IF(OR(G248="",H248=""),"",G248*H248)</f>
      </c>
      <c r="M248" s="26"/>
      <c r="N248" s="25"/>
      <c r="O248" s="8"/>
    </row>
    <row r="249">
      <c r="A249" s="23"/>
      <c r="B249" s="7">
        <f>IF(A249="","",INT((A249-Settings!$B$4)/7)+1)</f>
      </c>
      <c r="C249" s="7"/>
      <c r="D249" s="7"/>
      <c r="E249" s="7"/>
      <c r="F249" s="9"/>
      <c r="G249" s="26"/>
      <c r="H249" s="9"/>
      <c r="I249" s="42"/>
      <c r="J249" s="41"/>
      <c r="K249" s="26"/>
      <c r="L249" s="26">
        <f>IF(OR(G249="",H249=""),"",G249*H249)</f>
      </c>
      <c r="M249" s="26"/>
      <c r="N249" s="25"/>
      <c r="O249" s="8"/>
    </row>
    <row r="250">
      <c r="A250" s="23"/>
      <c r="B250" s="7">
        <f>IF(A250="","",INT((A250-Settings!$B$4)/7)+1)</f>
      </c>
      <c r="C250" s="7"/>
      <c r="D250" s="7"/>
      <c r="E250" s="7"/>
      <c r="F250" s="9"/>
      <c r="G250" s="26"/>
      <c r="H250" s="9"/>
      <c r="I250" s="42"/>
      <c r="J250" s="41"/>
      <c r="K250" s="26"/>
      <c r="L250" s="26">
        <f>IF(OR(G250="",H250=""),"",G250*H250)</f>
      </c>
      <c r="M250" s="26"/>
      <c r="N250" s="25"/>
      <c r="O250" s="8"/>
    </row>
    <row r="251">
      <c r="A251" s="23"/>
      <c r="B251" s="7">
        <f>IF(A251="","",INT((A251-Settings!$B$4)/7)+1)</f>
      </c>
      <c r="C251" s="7"/>
      <c r="D251" s="7"/>
      <c r="E251" s="7"/>
      <c r="F251" s="9"/>
      <c r="G251" s="26"/>
      <c r="H251" s="9"/>
      <c r="I251" s="42"/>
      <c r="J251" s="41"/>
      <c r="K251" s="26"/>
      <c r="L251" s="26">
        <f>IF(OR(G251="",H251=""),"",G251*H251)</f>
      </c>
      <c r="M251" s="26"/>
      <c r="N251" s="25"/>
      <c r="O251" s="8"/>
    </row>
    <row r="252">
      <c r="A252" s="23"/>
      <c r="B252" s="7">
        <f>IF(A252="","",INT((A252-Settings!$B$4)/7)+1)</f>
      </c>
      <c r="C252" s="7"/>
      <c r="D252" s="7"/>
      <c r="E252" s="7"/>
      <c r="F252" s="9"/>
      <c r="G252" s="26"/>
      <c r="H252" s="9"/>
      <c r="I252" s="42"/>
      <c r="J252" s="41"/>
      <c r="K252" s="26"/>
      <c r="L252" s="26">
        <f>IF(OR(G252="",H252=""),"",G252*H252)</f>
      </c>
      <c r="M252" s="26"/>
      <c r="N252" s="25"/>
      <c r="O252" s="8"/>
    </row>
    <row r="253">
      <c r="A253" s="23"/>
      <c r="B253" s="7">
        <f>IF(A253="","",INT((A253-Settings!$B$4)/7)+1)</f>
      </c>
      <c r="C253" s="7"/>
      <c r="D253" s="7"/>
      <c r="E253" s="7"/>
      <c r="F253" s="9"/>
      <c r="G253" s="26"/>
      <c r="H253" s="9"/>
      <c r="I253" s="42"/>
      <c r="J253" s="41"/>
      <c r="K253" s="26"/>
      <c r="L253" s="26">
        <f>IF(OR(G253="",H253=""),"",G253*H253)</f>
      </c>
      <c r="M253" s="26"/>
      <c r="N253" s="25"/>
      <c r="O253" s="8"/>
    </row>
    <row r="254">
      <c r="A254" s="23"/>
      <c r="B254" s="7">
        <f>IF(A254="","",INT((A254-Settings!$B$4)/7)+1)</f>
      </c>
      <c r="C254" s="7"/>
      <c r="D254" s="7"/>
      <c r="E254" s="7"/>
      <c r="F254" s="9"/>
      <c r="G254" s="26"/>
      <c r="H254" s="9"/>
      <c r="I254" s="42"/>
      <c r="J254" s="41"/>
      <c r="K254" s="26"/>
      <c r="L254" s="26">
        <f>IF(OR(G254="",H254=""),"",G254*H254)</f>
      </c>
      <c r="M254" s="26"/>
      <c r="N254" s="25"/>
      <c r="O254" s="8"/>
    </row>
    <row r="255">
      <c r="A255" s="23"/>
      <c r="B255" s="7">
        <f>IF(A255="","",INT((A255-Settings!$B$4)/7)+1)</f>
      </c>
      <c r="C255" s="7"/>
      <c r="D255" s="7"/>
      <c r="E255" s="7"/>
      <c r="F255" s="9"/>
      <c r="G255" s="26"/>
      <c r="H255" s="9"/>
      <c r="I255" s="42"/>
      <c r="J255" s="41"/>
      <c r="K255" s="26"/>
      <c r="L255" s="26">
        <f>IF(OR(G255="",H255=""),"",G255*H255)</f>
      </c>
      <c r="M255" s="26"/>
      <c r="N255" s="25"/>
      <c r="O255" s="8"/>
    </row>
    <row r="256">
      <c r="A256" s="23"/>
      <c r="B256" s="7">
        <f>IF(A256="","",INT((A256-Settings!$B$4)/7)+1)</f>
      </c>
      <c r="C256" s="7"/>
      <c r="D256" s="7"/>
      <c r="E256" s="7"/>
      <c r="F256" s="9"/>
      <c r="G256" s="26"/>
      <c r="H256" s="9"/>
      <c r="I256" s="42"/>
      <c r="J256" s="41"/>
      <c r="K256" s="26"/>
      <c r="L256" s="26">
        <f>IF(OR(G256="",H256=""),"",G256*H256)</f>
      </c>
      <c r="M256" s="26"/>
      <c r="N256" s="25"/>
      <c r="O256" s="8"/>
    </row>
    <row r="257">
      <c r="A257" s="23"/>
      <c r="B257" s="7">
        <f>IF(A257="","",INT((A257-Settings!$B$4)/7)+1)</f>
      </c>
      <c r="C257" s="7"/>
      <c r="D257" s="7"/>
      <c r="E257" s="7"/>
      <c r="F257" s="9"/>
      <c r="G257" s="26"/>
      <c r="H257" s="9"/>
      <c r="I257" s="42"/>
      <c r="J257" s="41"/>
      <c r="K257" s="26"/>
      <c r="L257" s="26">
        <f>IF(OR(G257="",H257=""),"",G257*H257)</f>
      </c>
      <c r="M257" s="26"/>
      <c r="N257" s="25"/>
      <c r="O257" s="8"/>
    </row>
    <row r="258">
      <c r="A258" s="23"/>
      <c r="B258" s="7">
        <f>IF(A258="","",INT((A258-Settings!$B$4)/7)+1)</f>
      </c>
      <c r="C258" s="7"/>
      <c r="D258" s="7"/>
      <c r="E258" s="7"/>
      <c r="F258" s="9"/>
      <c r="G258" s="26"/>
      <c r="H258" s="9"/>
      <c r="I258" s="42"/>
      <c r="J258" s="41"/>
      <c r="K258" s="26"/>
      <c r="L258" s="26">
        <f>IF(OR(G258="",H258=""),"",G258*H258)</f>
      </c>
      <c r="M258" s="26"/>
      <c r="N258" s="25"/>
      <c r="O258" s="8"/>
    </row>
    <row r="259">
      <c r="A259" s="23"/>
      <c r="B259" s="7">
        <f>IF(A259="","",INT((A259-Settings!$B$4)/7)+1)</f>
      </c>
      <c r="C259" s="7"/>
      <c r="D259" s="7"/>
      <c r="E259" s="7"/>
      <c r="F259" s="9"/>
      <c r="G259" s="26"/>
      <c r="H259" s="9"/>
      <c r="I259" s="42"/>
      <c r="J259" s="41"/>
      <c r="K259" s="26"/>
      <c r="L259" s="26">
        <f>IF(OR(G259="",H259=""),"",G259*H259)</f>
      </c>
      <c r="M259" s="26"/>
      <c r="N259" s="25"/>
      <c r="O259" s="8"/>
    </row>
    <row r="260">
      <c r="A260" s="23"/>
      <c r="B260" s="7">
        <f>IF(A260="","",INT((A260-Settings!$B$4)/7)+1)</f>
      </c>
      <c r="C260" s="7"/>
      <c r="D260" s="7"/>
      <c r="E260" s="7"/>
      <c r="F260" s="9"/>
      <c r="G260" s="26"/>
      <c r="H260" s="9"/>
      <c r="I260" s="42"/>
      <c r="J260" s="41"/>
      <c r="K260" s="26"/>
      <c r="L260" s="26">
        <f>IF(OR(G260="",H260=""),"",G260*H260)</f>
      </c>
      <c r="M260" s="26"/>
      <c r="N260" s="25"/>
      <c r="O260" s="8"/>
    </row>
    <row r="261">
      <c r="A261" s="23"/>
      <c r="B261" s="7">
        <f>IF(A261="","",INT((A261-Settings!$B$4)/7)+1)</f>
      </c>
      <c r="C261" s="7"/>
      <c r="D261" s="7"/>
      <c r="E261" s="7"/>
      <c r="F261" s="9"/>
      <c r="G261" s="26"/>
      <c r="H261" s="9"/>
      <c r="I261" s="42"/>
      <c r="J261" s="41"/>
      <c r="K261" s="26"/>
      <c r="L261" s="26">
        <f>IF(OR(G261="",H261=""),"",G261*H261)</f>
      </c>
      <c r="M261" s="26"/>
      <c r="N261" s="25"/>
      <c r="O261" s="8"/>
    </row>
    <row r="262">
      <c r="A262" s="23"/>
      <c r="B262" s="7">
        <f>IF(A262="","",INT((A262-Settings!$B$4)/7)+1)</f>
      </c>
      <c r="C262" s="7"/>
      <c r="D262" s="7"/>
      <c r="E262" s="7"/>
      <c r="F262" s="9"/>
      <c r="G262" s="26"/>
      <c r="H262" s="9"/>
      <c r="I262" s="42"/>
      <c r="J262" s="41"/>
      <c r="K262" s="26"/>
      <c r="L262" s="26">
        <f>IF(OR(G262="",H262=""),"",G262*H262)</f>
      </c>
      <c r="M262" s="26"/>
      <c r="N262" s="25"/>
      <c r="O262" s="8"/>
    </row>
    <row r="263">
      <c r="A263" s="23"/>
      <c r="B263" s="7">
        <f>IF(A263="","",INT((A263-Settings!$B$4)/7)+1)</f>
      </c>
      <c r="C263" s="7"/>
      <c r="D263" s="7"/>
      <c r="E263" s="7"/>
      <c r="F263" s="9"/>
      <c r="G263" s="26"/>
      <c r="H263" s="9"/>
      <c r="I263" s="42"/>
      <c r="J263" s="41"/>
      <c r="K263" s="26"/>
      <c r="L263" s="26">
        <f>IF(OR(G263="",H263=""),"",G263*H263)</f>
      </c>
      <c r="M263" s="26"/>
      <c r="N263" s="25"/>
      <c r="O263" s="8"/>
    </row>
    <row r="264">
      <c r="A264" s="23"/>
      <c r="B264" s="7">
        <f>IF(A264="","",INT((A264-Settings!$B$4)/7)+1)</f>
      </c>
      <c r="C264" s="7"/>
      <c r="D264" s="7"/>
      <c r="E264" s="7"/>
      <c r="F264" s="9"/>
      <c r="G264" s="26"/>
      <c r="H264" s="9"/>
      <c r="I264" s="42"/>
      <c r="J264" s="41"/>
      <c r="K264" s="26"/>
      <c r="L264" s="26">
        <f>IF(OR(G264="",H264=""),"",G264*H264)</f>
      </c>
      <c r="M264" s="26"/>
      <c r="N264" s="25"/>
      <c r="O264" s="8"/>
    </row>
    <row r="265">
      <c r="A265" s="23"/>
      <c r="B265" s="7">
        <f>IF(A265="","",INT((A265-Settings!$B$4)/7)+1)</f>
      </c>
      <c r="C265" s="7"/>
      <c r="D265" s="7"/>
      <c r="E265" s="7"/>
      <c r="F265" s="9"/>
      <c r="G265" s="26"/>
      <c r="H265" s="9"/>
      <c r="I265" s="42"/>
      <c r="J265" s="41"/>
      <c r="K265" s="26"/>
      <c r="L265" s="26">
        <f>IF(OR(G265="",H265=""),"",G265*H265)</f>
      </c>
      <c r="M265" s="26"/>
      <c r="N265" s="25"/>
      <c r="O265" s="8"/>
    </row>
    <row r="266">
      <c r="A266" s="23"/>
      <c r="B266" s="7">
        <f>IF(A266="","",INT((A266-Settings!$B$4)/7)+1)</f>
      </c>
      <c r="C266" s="7"/>
      <c r="D266" s="7"/>
      <c r="E266" s="7"/>
      <c r="F266" s="9"/>
      <c r="G266" s="26"/>
      <c r="H266" s="9"/>
      <c r="I266" s="42"/>
      <c r="J266" s="41"/>
      <c r="K266" s="26"/>
      <c r="L266" s="26">
        <f>IF(OR(G266="",H266=""),"",G266*H266)</f>
      </c>
      <c r="M266" s="26"/>
      <c r="N266" s="25"/>
      <c r="O266" s="8"/>
    </row>
    <row r="267">
      <c r="A267" s="23"/>
      <c r="B267" s="7">
        <f>IF(A267="","",INT((A267-Settings!$B$4)/7)+1)</f>
      </c>
      <c r="C267" s="7"/>
      <c r="D267" s="7"/>
      <c r="E267" s="7"/>
      <c r="F267" s="9"/>
      <c r="G267" s="26"/>
      <c r="H267" s="9"/>
      <c r="I267" s="42"/>
      <c r="J267" s="41"/>
      <c r="K267" s="26"/>
      <c r="L267" s="26">
        <f>IF(OR(G267="",H267=""),"",G267*H267)</f>
      </c>
      <c r="M267" s="26"/>
      <c r="N267" s="25"/>
      <c r="O267" s="8"/>
    </row>
    <row r="268">
      <c r="A268" s="23"/>
      <c r="B268" s="7">
        <f>IF(A268="","",INT((A268-Settings!$B$4)/7)+1)</f>
      </c>
      <c r="C268" s="7"/>
      <c r="D268" s="7"/>
      <c r="E268" s="7"/>
      <c r="F268" s="9"/>
      <c r="G268" s="26"/>
      <c r="H268" s="9"/>
      <c r="I268" s="42"/>
      <c r="J268" s="41"/>
      <c r="K268" s="26"/>
      <c r="L268" s="26">
        <f>IF(OR(G268="",H268=""),"",G268*H268)</f>
      </c>
      <c r="M268" s="26"/>
      <c r="N268" s="25"/>
      <c r="O268" s="8"/>
    </row>
    <row r="269">
      <c r="A269" s="23"/>
      <c r="B269" s="7">
        <f>IF(A269="","",INT((A269-Settings!$B$4)/7)+1)</f>
      </c>
      <c r="C269" s="7"/>
      <c r="D269" s="7"/>
      <c r="E269" s="7"/>
      <c r="F269" s="9"/>
      <c r="G269" s="26"/>
      <c r="H269" s="9"/>
      <c r="I269" s="42"/>
      <c r="J269" s="41"/>
      <c r="K269" s="26"/>
      <c r="L269" s="26">
        <f>IF(OR(G269="",H269=""),"",G269*H269)</f>
      </c>
      <c r="M269" s="26"/>
      <c r="N269" s="25"/>
      <c r="O269" s="8"/>
    </row>
    <row r="270">
      <c r="A270" s="23"/>
      <c r="B270" s="7">
        <f>IF(A270="","",INT((A270-Settings!$B$4)/7)+1)</f>
      </c>
      <c r="C270" s="7"/>
      <c r="D270" s="7"/>
      <c r="E270" s="7"/>
      <c r="F270" s="9"/>
      <c r="G270" s="26"/>
      <c r="H270" s="9"/>
      <c r="I270" s="42"/>
      <c r="J270" s="41"/>
      <c r="K270" s="26"/>
      <c r="L270" s="26">
        <f>IF(OR(G270="",H270=""),"",G270*H270)</f>
      </c>
      <c r="M270" s="26"/>
      <c r="N270" s="25"/>
      <c r="O270" s="8"/>
    </row>
    <row r="271">
      <c r="A271" s="23"/>
      <c r="B271" s="7">
        <f>IF(A271="","",INT((A271-Settings!$B$4)/7)+1)</f>
      </c>
      <c r="C271" s="7"/>
      <c r="D271" s="7"/>
      <c r="E271" s="7"/>
      <c r="F271" s="9"/>
      <c r="G271" s="26"/>
      <c r="H271" s="9"/>
      <c r="I271" s="42"/>
      <c r="J271" s="41"/>
      <c r="K271" s="26"/>
      <c r="L271" s="26">
        <f>IF(OR(G271="",H271=""),"",G271*H271)</f>
      </c>
      <c r="M271" s="26"/>
      <c r="N271" s="25"/>
      <c r="O271" s="8"/>
    </row>
    <row r="272">
      <c r="A272" s="23"/>
      <c r="B272" s="7">
        <f>IF(A272="","",INT((A272-Settings!$B$4)/7)+1)</f>
      </c>
      <c r="C272" s="7"/>
      <c r="D272" s="7"/>
      <c r="E272" s="7"/>
      <c r="F272" s="9"/>
      <c r="G272" s="26"/>
      <c r="H272" s="9"/>
      <c r="I272" s="42"/>
      <c r="J272" s="41"/>
      <c r="K272" s="26"/>
      <c r="L272" s="26">
        <f>IF(OR(G272="",H272=""),"",G272*H272)</f>
      </c>
      <c r="M272" s="26"/>
      <c r="N272" s="25"/>
      <c r="O272" s="8"/>
    </row>
    <row r="273">
      <c r="A273" s="23"/>
      <c r="B273" s="7">
        <f>IF(A273="","",INT((A273-Settings!$B$4)/7)+1)</f>
      </c>
      <c r="C273" s="7"/>
      <c r="D273" s="7"/>
      <c r="E273" s="7"/>
      <c r="F273" s="9"/>
      <c r="G273" s="26"/>
      <c r="H273" s="9"/>
      <c r="I273" s="42"/>
      <c r="J273" s="41"/>
      <c r="K273" s="26"/>
      <c r="L273" s="26">
        <f>IF(OR(G273="",H273=""),"",G273*H273)</f>
      </c>
      <c r="M273" s="26"/>
      <c r="N273" s="25"/>
      <c r="O273" s="8"/>
    </row>
    <row r="274">
      <c r="A274" s="23"/>
      <c r="B274" s="7">
        <f>IF(A274="","",INT((A274-Settings!$B$4)/7)+1)</f>
      </c>
      <c r="C274" s="7"/>
      <c r="D274" s="7"/>
      <c r="E274" s="7"/>
      <c r="F274" s="9"/>
      <c r="G274" s="26"/>
      <c r="H274" s="9"/>
      <c r="I274" s="42"/>
      <c r="J274" s="41"/>
      <c r="K274" s="26"/>
      <c r="L274" s="26">
        <f>IF(OR(G274="",H274=""),"",G274*H274)</f>
      </c>
      <c r="M274" s="26"/>
      <c r="N274" s="25"/>
      <c r="O274" s="8"/>
    </row>
    <row r="275">
      <c r="A275" s="23"/>
      <c r="B275" s="7">
        <f>IF(A275="","",INT((A275-Settings!$B$4)/7)+1)</f>
      </c>
      <c r="C275" s="7"/>
      <c r="D275" s="7"/>
      <c r="E275" s="7"/>
      <c r="F275" s="9"/>
      <c r="G275" s="26"/>
      <c r="H275" s="9"/>
      <c r="I275" s="42"/>
      <c r="J275" s="41"/>
      <c r="K275" s="26"/>
      <c r="L275" s="26">
        <f>IF(OR(G275="",H275=""),"",G275*H275)</f>
      </c>
      <c r="M275" s="26"/>
      <c r="N275" s="25"/>
      <c r="O275" s="8"/>
    </row>
    <row r="276">
      <c r="A276" s="23"/>
      <c r="B276" s="7">
        <f>IF(A276="","",INT((A276-Settings!$B$4)/7)+1)</f>
      </c>
      <c r="C276" s="7"/>
      <c r="D276" s="7"/>
      <c r="E276" s="7"/>
      <c r="F276" s="9"/>
      <c r="G276" s="26"/>
      <c r="H276" s="9"/>
      <c r="I276" s="42"/>
      <c r="J276" s="41"/>
      <c r="K276" s="26"/>
      <c r="L276" s="26">
        <f>IF(OR(G276="",H276=""),"",G276*H276)</f>
      </c>
      <c r="M276" s="26"/>
      <c r="N276" s="25"/>
      <c r="O276" s="8"/>
    </row>
    <row r="277">
      <c r="A277" s="23"/>
      <c r="B277" s="7">
        <f>IF(A277="","",INT((A277-Settings!$B$4)/7)+1)</f>
      </c>
      <c r="C277" s="7"/>
      <c r="D277" s="7"/>
      <c r="E277" s="7"/>
      <c r="F277" s="9"/>
      <c r="G277" s="26"/>
      <c r="H277" s="9"/>
      <c r="I277" s="42"/>
      <c r="J277" s="41"/>
      <c r="K277" s="26"/>
      <c r="L277" s="26">
        <f>IF(OR(G277="",H277=""),"",G277*H277)</f>
      </c>
      <c r="M277" s="26"/>
      <c r="N277" s="25"/>
      <c r="O277" s="8"/>
    </row>
    <row r="278">
      <c r="A278" s="23"/>
      <c r="B278" s="7">
        <f>IF(A278="","",INT((A278-Settings!$B$4)/7)+1)</f>
      </c>
      <c r="C278" s="7"/>
      <c r="D278" s="7"/>
      <c r="E278" s="7"/>
      <c r="F278" s="9"/>
      <c r="G278" s="26"/>
      <c r="H278" s="9"/>
      <c r="I278" s="42"/>
      <c r="J278" s="41"/>
      <c r="K278" s="26"/>
      <c r="L278" s="26">
        <f>IF(OR(G278="",H278=""),"",G278*H278)</f>
      </c>
      <c r="M278" s="26"/>
      <c r="N278" s="25"/>
      <c r="O278" s="8"/>
    </row>
    <row r="279">
      <c r="A279" s="23"/>
      <c r="B279" s="7">
        <f>IF(A279="","",INT((A279-Settings!$B$4)/7)+1)</f>
      </c>
      <c r="C279" s="7"/>
      <c r="D279" s="7"/>
      <c r="E279" s="7"/>
      <c r="F279" s="9"/>
      <c r="G279" s="26"/>
      <c r="H279" s="9"/>
      <c r="I279" s="42"/>
      <c r="J279" s="41"/>
      <c r="K279" s="26"/>
      <c r="L279" s="26">
        <f>IF(OR(G279="",H279=""),"",G279*H279)</f>
      </c>
      <c r="M279" s="26"/>
      <c r="N279" s="25"/>
      <c r="O279" s="8"/>
    </row>
    <row r="280">
      <c r="A280" s="23"/>
      <c r="B280" s="7">
        <f>IF(A280="","",INT((A280-Settings!$B$4)/7)+1)</f>
      </c>
      <c r="C280" s="7"/>
      <c r="D280" s="7"/>
      <c r="E280" s="7"/>
      <c r="F280" s="9"/>
      <c r="G280" s="26"/>
      <c r="H280" s="9"/>
      <c r="I280" s="42"/>
      <c r="J280" s="41"/>
      <c r="K280" s="26"/>
      <c r="L280" s="26">
        <f>IF(OR(G280="",H280=""),"",G280*H280)</f>
      </c>
      <c r="M280" s="26"/>
      <c r="N280" s="25"/>
      <c r="O280" s="8"/>
    </row>
    <row r="281">
      <c r="A281" s="23"/>
      <c r="B281" s="7">
        <f>IF(A281="","",INT((A281-Settings!$B$4)/7)+1)</f>
      </c>
      <c r="C281" s="7"/>
      <c r="D281" s="7"/>
      <c r="E281" s="7"/>
      <c r="F281" s="9"/>
      <c r="G281" s="26"/>
      <c r="H281" s="9"/>
      <c r="I281" s="42"/>
      <c r="J281" s="41"/>
      <c r="K281" s="26"/>
      <c r="L281" s="26">
        <f>IF(OR(G281="",H281=""),"",G281*H281)</f>
      </c>
      <c r="M281" s="26"/>
      <c r="N281" s="25"/>
      <c r="O281" s="8"/>
    </row>
    <row r="282">
      <c r="A282" s="23"/>
      <c r="B282" s="7">
        <f>IF(A282="","",INT((A282-Settings!$B$4)/7)+1)</f>
      </c>
      <c r="C282" s="7"/>
      <c r="D282" s="7"/>
      <c r="E282" s="7"/>
      <c r="F282" s="9"/>
      <c r="G282" s="26"/>
      <c r="H282" s="9"/>
      <c r="I282" s="42"/>
      <c r="J282" s="41"/>
      <c r="K282" s="26"/>
      <c r="L282" s="26">
        <f>IF(OR(G282="",H282=""),"",G282*H282)</f>
      </c>
      <c r="M282" s="26"/>
      <c r="N282" s="25"/>
      <c r="O282" s="8"/>
    </row>
    <row r="283">
      <c r="A283" s="23"/>
      <c r="B283" s="7">
        <f>IF(A283="","",INT((A283-Settings!$B$4)/7)+1)</f>
      </c>
      <c r="C283" s="7"/>
      <c r="D283" s="7"/>
      <c r="E283" s="7"/>
      <c r="F283" s="9"/>
      <c r="G283" s="26"/>
      <c r="H283" s="9"/>
      <c r="I283" s="42"/>
      <c r="J283" s="41"/>
      <c r="K283" s="26"/>
      <c r="L283" s="26">
        <f>IF(OR(G283="",H283=""),"",G283*H283)</f>
      </c>
      <c r="M283" s="26"/>
      <c r="N283" s="25"/>
      <c r="O283" s="8"/>
    </row>
    <row r="284">
      <c r="A284" s="23"/>
      <c r="B284" s="7">
        <f>IF(A284="","",INT((A284-Settings!$B$4)/7)+1)</f>
      </c>
      <c r="C284" s="7"/>
      <c r="D284" s="7"/>
      <c r="E284" s="7"/>
      <c r="F284" s="9"/>
      <c r="G284" s="26"/>
      <c r="H284" s="9"/>
      <c r="I284" s="42"/>
      <c r="J284" s="41"/>
      <c r="K284" s="26"/>
      <c r="L284" s="26">
        <f>IF(OR(G284="",H284=""),"",G284*H284)</f>
      </c>
      <c r="M284" s="26"/>
      <c r="N284" s="25"/>
      <c r="O284" s="8"/>
    </row>
    <row r="285">
      <c r="A285" s="23"/>
      <c r="B285" s="7">
        <f>IF(A285="","",INT((A285-Settings!$B$4)/7)+1)</f>
      </c>
      <c r="C285" s="7"/>
      <c r="D285" s="7"/>
      <c r="E285" s="7"/>
      <c r="F285" s="9"/>
      <c r="G285" s="26"/>
      <c r="H285" s="9"/>
      <c r="I285" s="42"/>
      <c r="J285" s="41"/>
      <c r="K285" s="26"/>
      <c r="L285" s="26">
        <f>IF(OR(G285="",H285=""),"",G285*H285)</f>
      </c>
      <c r="M285" s="26"/>
      <c r="N285" s="25"/>
      <c r="O285" s="8"/>
    </row>
    <row r="286">
      <c r="A286" s="23"/>
      <c r="B286" s="7">
        <f>IF(A286="","",INT((A286-Settings!$B$4)/7)+1)</f>
      </c>
      <c r="C286" s="7"/>
      <c r="D286" s="7"/>
      <c r="E286" s="7"/>
      <c r="F286" s="9"/>
      <c r="G286" s="26"/>
      <c r="H286" s="9"/>
      <c r="I286" s="42"/>
      <c r="J286" s="41"/>
      <c r="K286" s="26"/>
      <c r="L286" s="26">
        <f>IF(OR(G286="",H286=""),"",G286*H286)</f>
      </c>
      <c r="M286" s="26"/>
      <c r="N286" s="25"/>
      <c r="O286" s="8"/>
    </row>
    <row r="287">
      <c r="A287" s="23"/>
      <c r="B287" s="7">
        <f>IF(A287="","",INT((A287-Settings!$B$4)/7)+1)</f>
      </c>
      <c r="C287" s="7"/>
      <c r="D287" s="7"/>
      <c r="E287" s="7"/>
      <c r="F287" s="9"/>
      <c r="G287" s="26"/>
      <c r="H287" s="9"/>
      <c r="I287" s="42"/>
      <c r="J287" s="41"/>
      <c r="K287" s="26"/>
      <c r="L287" s="26">
        <f>IF(OR(G287="",H287=""),"",G287*H287)</f>
      </c>
      <c r="M287" s="26"/>
      <c r="N287" s="25"/>
      <c r="O287" s="8"/>
    </row>
    <row r="288">
      <c r="A288" s="23"/>
      <c r="B288" s="7">
        <f>IF(A288="","",INT((A288-Settings!$B$4)/7)+1)</f>
      </c>
      <c r="C288" s="7"/>
      <c r="D288" s="7"/>
      <c r="E288" s="7"/>
      <c r="F288" s="9"/>
      <c r="G288" s="26"/>
      <c r="H288" s="9"/>
      <c r="I288" s="42"/>
      <c r="J288" s="41"/>
      <c r="K288" s="26"/>
      <c r="L288" s="26">
        <f>IF(OR(G288="",H288=""),"",G288*H288)</f>
      </c>
      <c r="M288" s="26"/>
      <c r="N288" s="25"/>
      <c r="O288" s="8"/>
    </row>
    <row r="289">
      <c r="A289" s="23"/>
      <c r="B289" s="7">
        <f>IF(A289="","",INT((A289-Settings!$B$4)/7)+1)</f>
      </c>
      <c r="C289" s="7"/>
      <c r="D289" s="7"/>
      <c r="E289" s="7"/>
      <c r="F289" s="9"/>
      <c r="G289" s="26"/>
      <c r="H289" s="9"/>
      <c r="I289" s="42"/>
      <c r="J289" s="41"/>
      <c r="K289" s="26"/>
      <c r="L289" s="26">
        <f>IF(OR(G289="",H289=""),"",G289*H289)</f>
      </c>
      <c r="M289" s="26"/>
      <c r="N289" s="25"/>
      <c r="O289" s="8"/>
    </row>
    <row r="290">
      <c r="A290" s="23"/>
      <c r="B290" s="7">
        <f>IF(A290="","",INT((A290-Settings!$B$4)/7)+1)</f>
      </c>
      <c r="C290" s="7"/>
      <c r="D290" s="7"/>
      <c r="E290" s="7"/>
      <c r="F290" s="9"/>
      <c r="G290" s="26"/>
      <c r="H290" s="9"/>
      <c r="I290" s="42"/>
      <c r="J290" s="41"/>
      <c r="K290" s="26"/>
      <c r="L290" s="26">
        <f>IF(OR(G290="",H290=""),"",G290*H290)</f>
      </c>
      <c r="M290" s="26"/>
      <c r="N290" s="25"/>
      <c r="O290" s="8"/>
    </row>
    <row r="291">
      <c r="A291" s="23"/>
      <c r="B291" s="7">
        <f>IF(A291="","",INT((A291-Settings!$B$4)/7)+1)</f>
      </c>
      <c r="C291" s="7"/>
      <c r="D291" s="7"/>
      <c r="E291" s="7"/>
      <c r="F291" s="9"/>
      <c r="G291" s="26"/>
      <c r="H291" s="9"/>
      <c r="I291" s="42"/>
      <c r="J291" s="41"/>
      <c r="K291" s="26"/>
      <c r="L291" s="26">
        <f>IF(OR(G291="",H291=""),"",G291*H291)</f>
      </c>
      <c r="M291" s="26"/>
      <c r="N291" s="25"/>
      <c r="O291" s="8"/>
    </row>
    <row r="292">
      <c r="A292" s="23"/>
      <c r="B292" s="7">
        <f>IF(A292="","",INT((A292-Settings!$B$4)/7)+1)</f>
      </c>
      <c r="C292" s="7"/>
      <c r="D292" s="7"/>
      <c r="E292" s="7"/>
      <c r="F292" s="9"/>
      <c r="G292" s="26"/>
      <c r="H292" s="9"/>
      <c r="I292" s="42"/>
      <c r="J292" s="41"/>
      <c r="K292" s="26"/>
      <c r="L292" s="26">
        <f>IF(OR(G292="",H292=""),"",G292*H292)</f>
      </c>
      <c r="M292" s="26"/>
      <c r="N292" s="25"/>
      <c r="O292" s="8"/>
    </row>
    <row r="293">
      <c r="A293" s="23"/>
      <c r="B293" s="7">
        <f>IF(A293="","",INT((A293-Settings!$B$4)/7)+1)</f>
      </c>
      <c r="C293" s="7"/>
      <c r="D293" s="7"/>
      <c r="E293" s="7"/>
      <c r="F293" s="9"/>
      <c r="G293" s="26"/>
      <c r="H293" s="9"/>
      <c r="I293" s="42"/>
      <c r="J293" s="41"/>
      <c r="K293" s="26"/>
      <c r="L293" s="26">
        <f>IF(OR(G293="",H293=""),"",G293*H293)</f>
      </c>
      <c r="M293" s="26"/>
      <c r="N293" s="25"/>
      <c r="O293" s="8"/>
    </row>
    <row r="294">
      <c r="A294" s="23"/>
      <c r="B294" s="7">
        <f>IF(A294="","",INT((A294-Settings!$B$4)/7)+1)</f>
      </c>
      <c r="C294" s="7"/>
      <c r="D294" s="7"/>
      <c r="E294" s="7"/>
      <c r="F294" s="9"/>
      <c r="G294" s="26"/>
      <c r="H294" s="9"/>
      <c r="I294" s="42"/>
      <c r="J294" s="41"/>
      <c r="K294" s="26"/>
      <c r="L294" s="26">
        <f>IF(OR(G294="",H294=""),"",G294*H294)</f>
      </c>
      <c r="M294" s="26"/>
      <c r="N294" s="25"/>
      <c r="O294" s="8"/>
    </row>
    <row r="295">
      <c r="A295" s="23"/>
      <c r="B295" s="7">
        <f>IF(A295="","",INT((A295-Settings!$B$4)/7)+1)</f>
      </c>
      <c r="C295" s="7"/>
      <c r="D295" s="7"/>
      <c r="E295" s="7"/>
      <c r="F295" s="9"/>
      <c r="G295" s="26"/>
      <c r="H295" s="9"/>
      <c r="I295" s="42"/>
      <c r="J295" s="41"/>
      <c r="K295" s="26"/>
      <c r="L295" s="26">
        <f>IF(OR(G295="",H295=""),"",G295*H295)</f>
      </c>
      <c r="M295" s="26"/>
      <c r="N295" s="25"/>
      <c r="O295" s="8"/>
    </row>
    <row r="296">
      <c r="A296" s="23"/>
      <c r="B296" s="7">
        <f>IF(A296="","",INT((A296-Settings!$B$4)/7)+1)</f>
      </c>
      <c r="C296" s="7"/>
      <c r="D296" s="7"/>
      <c r="E296" s="7"/>
      <c r="F296" s="9"/>
      <c r="G296" s="26"/>
      <c r="H296" s="9"/>
      <c r="I296" s="42"/>
      <c r="J296" s="41"/>
      <c r="K296" s="26"/>
      <c r="L296" s="26">
        <f>IF(OR(G296="",H296=""),"",G296*H296)</f>
      </c>
      <c r="M296" s="26"/>
      <c r="N296" s="25"/>
      <c r="O296" s="8"/>
    </row>
    <row r="297">
      <c r="A297" s="23"/>
      <c r="B297" s="7">
        <f>IF(A297="","",INT((A297-Settings!$B$4)/7)+1)</f>
      </c>
      <c r="C297" s="7"/>
      <c r="D297" s="7"/>
      <c r="E297" s="7"/>
      <c r="F297" s="9"/>
      <c r="G297" s="26"/>
      <c r="H297" s="9"/>
      <c r="I297" s="42"/>
      <c r="J297" s="41"/>
      <c r="K297" s="26"/>
      <c r="L297" s="26">
        <f>IF(OR(G297="",H297=""),"",G297*H297)</f>
      </c>
      <c r="M297" s="26"/>
      <c r="N297" s="25"/>
      <c r="O297" s="8"/>
    </row>
    <row r="298">
      <c r="A298" s="23"/>
      <c r="B298" s="7">
        <f>IF(A298="","",INT((A298-Settings!$B$4)/7)+1)</f>
      </c>
      <c r="C298" s="7"/>
      <c r="D298" s="7"/>
      <c r="E298" s="7"/>
      <c r="F298" s="9"/>
      <c r="G298" s="26"/>
      <c r="H298" s="9"/>
      <c r="I298" s="42"/>
      <c r="J298" s="41"/>
      <c r="K298" s="26"/>
      <c r="L298" s="26">
        <f>IF(OR(G298="",H298=""),"",G298*H298)</f>
      </c>
      <c r="M298" s="26"/>
      <c r="N298" s="25"/>
      <c r="O298" s="8"/>
    </row>
    <row r="299">
      <c r="A299" s="23"/>
      <c r="B299" s="7">
        <f>IF(A299="","",INT((A299-Settings!$B$4)/7)+1)</f>
      </c>
      <c r="C299" s="7"/>
      <c r="D299" s="7"/>
      <c r="E299" s="7"/>
      <c r="F299" s="9"/>
      <c r="G299" s="26"/>
      <c r="H299" s="9"/>
      <c r="I299" s="42"/>
      <c r="J299" s="41"/>
      <c r="K299" s="26"/>
      <c r="L299" s="26">
        <f>IF(OR(G299="",H299=""),"",G299*H299)</f>
      </c>
      <c r="M299" s="26"/>
      <c r="N299" s="25"/>
      <c r="O299" s="8"/>
    </row>
    <row r="300">
      <c r="A300" s="23"/>
      <c r="B300" s="7">
        <f>IF(A300="","",INT((A300-Settings!$B$4)/7)+1)</f>
      </c>
      <c r="C300" s="7"/>
      <c r="D300" s="7"/>
      <c r="E300" s="7"/>
      <c r="F300" s="9"/>
      <c r="G300" s="26"/>
      <c r="H300" s="9"/>
      <c r="I300" s="42"/>
      <c r="J300" s="41"/>
      <c r="K300" s="26"/>
      <c r="L300" s="26">
        <f>IF(OR(G300="",H300=""),"",G300*H300)</f>
      </c>
      <c r="M300" s="26"/>
      <c r="N300" s="25"/>
      <c r="O300" s="8"/>
    </row>
    <row r="301">
      <c r="A301" s="23"/>
      <c r="B301" s="7">
        <f>IF(A301="","",INT((A301-Settings!$B$4)/7)+1)</f>
      </c>
      <c r="C301" s="7"/>
      <c r="D301" s="7"/>
      <c r="E301" s="7"/>
      <c r="F301" s="9"/>
      <c r="G301" s="26"/>
      <c r="H301" s="9"/>
      <c r="I301" s="42"/>
      <c r="J301" s="41"/>
      <c r="K301" s="26"/>
      <c r="L301" s="26">
        <f>IF(OR(G301="",H301=""),"",G301*H301)</f>
      </c>
      <c r="M301" s="26"/>
      <c r="N301" s="25"/>
      <c r="O301" s="8"/>
    </row>
    <row r="302">
      <c r="A302" s="23"/>
      <c r="B302" s="7">
        <f>IF(A302="","",INT((A302-Settings!$B$4)/7)+1)</f>
      </c>
      <c r="C302" s="7"/>
      <c r="D302" s="7"/>
      <c r="E302" s="7"/>
      <c r="F302" s="9"/>
      <c r="G302" s="26"/>
      <c r="H302" s="9"/>
      <c r="I302" s="42"/>
      <c r="J302" s="41"/>
      <c r="K302" s="26"/>
      <c r="L302" s="26">
        <f>IF(OR(G302="",H302=""),"",G302*H302)</f>
      </c>
      <c r="M302" s="26"/>
      <c r="N302" s="25"/>
      <c r="O302" s="8"/>
    </row>
    <row r="303">
      <c r="A303" s="23"/>
      <c r="B303" s="7">
        <f>IF(A303="","",INT((A303-Settings!$B$4)/7)+1)</f>
      </c>
      <c r="C303" s="7"/>
      <c r="D303" s="7"/>
      <c r="E303" s="7"/>
      <c r="F303" s="9"/>
      <c r="G303" s="26"/>
      <c r="H303" s="9"/>
      <c r="I303" s="42"/>
      <c r="J303" s="41"/>
      <c r="K303" s="26"/>
      <c r="L303" s="26">
        <f>IF(OR(G303="",H303=""),"",G303*H303)</f>
      </c>
      <c r="M303" s="26"/>
      <c r="N303" s="25"/>
      <c r="O303" s="8"/>
    </row>
    <row r="304" ht="14.25">
      <c r="A304" s="23"/>
      <c r="B304" s="7">
        <f>IF(A304="","",INT((A304-Settings!$B$4)/7)+1)</f>
      </c>
      <c r="C304" s="7"/>
      <c r="D304" s="7"/>
      <c r="E304" s="7"/>
      <c r="F304" s="9"/>
      <c r="G304" s="26"/>
      <c r="H304" s="9"/>
      <c r="I304" s="42"/>
      <c r="J304" s="41"/>
      <c r="K304" s="26"/>
      <c r="L304" s="26">
        <f>IF(OR(G304="",H304=""),"",G304*H304)</f>
      </c>
      <c r="M304" s="26"/>
      <c r="N304" s="25"/>
      <c r="O304" s="8"/>
    </row>
    <row r="305" ht="14.25">
      <c r="A305" s="23"/>
      <c r="B305" s="7">
        <f>IF(A305="","",INT((A305-Settings!$B$4)/7)+1)</f>
      </c>
      <c r="C305" s="7"/>
      <c r="D305" s="7"/>
      <c r="E305" s="7"/>
      <c r="F305" s="7"/>
      <c r="G305" s="26"/>
      <c r="H305" s="7"/>
      <c r="I305" s="42"/>
      <c r="J305" s="41"/>
      <c r="K305" s="26"/>
      <c r="L305" s="26">
        <f>IF(OR(G305="",H305=""),"",G305*H305)</f>
      </c>
      <c r="M305" s="26"/>
      <c r="N305" s="25"/>
      <c r="O305" s="8"/>
    </row>
    <row r="306" ht="14.25">
      <c r="A306" s="23"/>
      <c r="B306" s="7">
        <f>IF(A306="","",INT((A306-Settings!$B$4)/7)+1)</f>
      </c>
      <c r="C306" s="7"/>
      <c r="D306" s="7"/>
      <c r="E306" s="7"/>
      <c r="F306" s="7"/>
      <c r="G306" s="26"/>
      <c r="H306" s="7"/>
      <c r="I306" s="42"/>
      <c r="J306" s="41"/>
      <c r="K306" s="26"/>
      <c r="L306" s="26">
        <f>IF(OR(G306="",H306=""),"",G306*H306)</f>
      </c>
      <c r="M306" s="26"/>
      <c r="N306" s="25"/>
      <c r="O306" s="8"/>
    </row>
    <row r="307" ht="14.25">
      <c r="A307" s="23"/>
      <c r="B307" s="7">
        <f>IF(A307="","",INT((A307-Settings!$B$4)/7)+1)</f>
      </c>
      <c r="C307" s="7"/>
      <c r="D307" s="7"/>
      <c r="E307" s="7"/>
      <c r="F307" s="7"/>
      <c r="G307" s="26"/>
      <c r="H307" s="7"/>
      <c r="I307" s="42"/>
      <c r="J307" s="41"/>
      <c r="K307" s="26"/>
      <c r="L307" s="26">
        <f>IF(OR(G307="",H307=""),"",G307*H307)</f>
      </c>
      <c r="M307" s="26"/>
      <c r="N307" s="25"/>
      <c r="O307" s="8"/>
    </row>
    <row r="308" ht="14.25">
      <c r="A308" s="23"/>
      <c r="B308" s="7">
        <f>IF(A308="","",INT((A308-Settings!$B$4)/7)+1)</f>
      </c>
      <c r="C308" s="7"/>
      <c r="D308" s="7"/>
      <c r="E308" s="7"/>
      <c r="F308" s="7"/>
      <c r="G308" s="26"/>
      <c r="H308" s="7"/>
      <c r="I308" s="42"/>
      <c r="J308" s="41"/>
      <c r="K308" s="26"/>
      <c r="L308" s="26">
        <f>IF(OR(G308="",H308=""),"",G308*H308)</f>
      </c>
      <c r="M308" s="26"/>
      <c r="N308" s="25"/>
      <c r="O308" s="8"/>
    </row>
    <row r="309" ht="14.25">
      <c r="A309" s="23"/>
      <c r="B309" s="7">
        <f>IF(A309="","",INT((A309-Settings!$B$4)/7)+1)</f>
      </c>
      <c r="C309" s="7"/>
      <c r="D309" s="7"/>
      <c r="E309" s="7"/>
      <c r="F309" s="7"/>
      <c r="G309" s="26"/>
      <c r="H309" s="7"/>
      <c r="I309" s="42"/>
      <c r="J309" s="41"/>
      <c r="K309" s="26"/>
      <c r="L309" s="26">
        <f>IF(OR(G309="",H309=""),"",G309*H309)</f>
      </c>
      <c r="M309" s="26"/>
      <c r="N309" s="25"/>
      <c r="O309" s="8"/>
    </row>
    <row r="310" ht="14.25">
      <c r="A310" s="23"/>
      <c r="B310" s="7">
        <f>IF(A310="","",INT((A310-Settings!$B$4)/7)+1)</f>
      </c>
      <c r="C310" s="7"/>
      <c r="D310" s="7"/>
      <c r="E310" s="7"/>
      <c r="F310" s="7"/>
      <c r="G310" s="26"/>
      <c r="H310" s="7"/>
      <c r="I310" s="42"/>
      <c r="J310" s="41"/>
      <c r="K310" s="26"/>
      <c r="L310" s="26">
        <f>IF(OR(G310="",H310=""),"",G310*H310)</f>
      </c>
      <c r="M310" s="26"/>
      <c r="N310" s="25"/>
      <c r="O310" s="8"/>
    </row>
    <row r="311" ht="14.25">
      <c r="A311" s="23"/>
      <c r="B311" s="7">
        <f>IF(A311="","",INT((A311-Settings!$B$4)/7)+1)</f>
      </c>
      <c r="C311" s="7"/>
      <c r="D311" s="7"/>
      <c r="E311" s="7"/>
      <c r="F311" s="7"/>
      <c r="G311" s="26"/>
      <c r="H311" s="7"/>
      <c r="I311" s="42"/>
      <c r="J311" s="41"/>
      <c r="K311" s="26"/>
      <c r="L311" s="26">
        <f>IF(OR(G311="",H311=""),"",G311*H311)</f>
      </c>
      <c r="M311" s="26"/>
      <c r="N311" s="25"/>
      <c r="O311" s="8"/>
    </row>
    <row r="312" ht="14.25">
      <c r="A312" s="23"/>
      <c r="B312" s="7">
        <f>IF(A312="","",INT((A312-Settings!$B$4)/7)+1)</f>
      </c>
      <c r="C312" s="7"/>
      <c r="D312" s="7"/>
      <c r="E312" s="7"/>
      <c r="F312" s="7"/>
      <c r="G312" s="26"/>
      <c r="H312" s="7"/>
      <c r="I312" s="42"/>
      <c r="J312" s="41"/>
      <c r="K312" s="26"/>
      <c r="L312" s="26">
        <f>IF(OR(G312="",H312=""),"",G312*H312)</f>
      </c>
      <c r="M312" s="26"/>
      <c r="N312" s="25"/>
      <c r="O312" s="8"/>
    </row>
    <row r="313" ht="14.25">
      <c r="A313" s="23"/>
      <c r="B313" s="7">
        <f>IF(A313="","",INT((A313-Settings!$B$4)/7)+1)</f>
      </c>
      <c r="C313" s="7"/>
      <c r="D313" s="7"/>
      <c r="E313" s="7"/>
      <c r="F313" s="7"/>
      <c r="G313" s="26"/>
      <c r="H313" s="7"/>
      <c r="I313" s="42"/>
      <c r="J313" s="41"/>
      <c r="K313" s="26"/>
      <c r="L313" s="26">
        <f>IF(OR(G313="",H313=""),"",G313*H313)</f>
      </c>
      <c r="M313" s="26"/>
      <c r="N313" s="25"/>
      <c r="O313" s="8"/>
    </row>
    <row r="314" ht="14.25">
      <c r="A314" s="23"/>
      <c r="B314" s="7">
        <f>IF(A314="","",INT((A314-Settings!$B$4)/7)+1)</f>
      </c>
      <c r="C314" s="7"/>
      <c r="D314" s="7"/>
      <c r="E314" s="7"/>
      <c r="F314" s="7"/>
      <c r="G314" s="26"/>
      <c r="H314" s="7"/>
      <c r="I314" s="42"/>
      <c r="J314" s="41"/>
      <c r="K314" s="26"/>
      <c r="L314" s="26">
        <f>IF(OR(G314="",H314=""),"",G314*H314)</f>
      </c>
      <c r="M314" s="26"/>
      <c r="N314" s="25"/>
      <c r="O314" s="8"/>
    </row>
    <row r="315" ht="14.25">
      <c r="A315" s="23"/>
      <c r="B315" s="7">
        <f>IF(A315="","",INT((A315-Settings!$B$4)/7)+1)</f>
      </c>
      <c r="C315" s="7"/>
      <c r="D315" s="7"/>
      <c r="E315" s="7"/>
      <c r="F315" s="7"/>
      <c r="G315" s="26"/>
      <c r="H315" s="7"/>
      <c r="I315" s="42"/>
      <c r="J315" s="41"/>
      <c r="K315" s="26"/>
      <c r="L315" s="26">
        <f>IF(OR(G315="",H315=""),"",G315*H315)</f>
      </c>
      <c r="M315" s="26"/>
      <c r="N315" s="25"/>
      <c r="O315" s="8"/>
    </row>
    <row r="316" ht="14.25">
      <c r="A316" s="23"/>
      <c r="B316" s="7">
        <f>IF(A316="","",INT((A316-Settings!$B$4)/7)+1)</f>
      </c>
      <c r="C316" s="7"/>
      <c r="D316" s="7"/>
      <c r="E316" s="7"/>
      <c r="F316" s="7"/>
      <c r="G316" s="26"/>
      <c r="H316" s="7"/>
      <c r="I316" s="42"/>
      <c r="J316" s="41"/>
      <c r="K316" s="26"/>
      <c r="L316" s="26">
        <f>IF(OR(G316="",H316=""),"",G316*H316)</f>
      </c>
      <c r="M316" s="26"/>
      <c r="N316" s="25"/>
      <c r="O316" s="8"/>
    </row>
    <row r="317" ht="14.25">
      <c r="A317" s="23"/>
      <c r="B317" s="7">
        <f>IF(A317="","",INT((A317-Settings!$B$4)/7)+1)</f>
      </c>
      <c r="C317" s="7"/>
      <c r="D317" s="7"/>
      <c r="E317" s="7"/>
      <c r="F317" s="7"/>
      <c r="G317" s="26"/>
      <c r="H317" s="7"/>
      <c r="I317" s="42"/>
      <c r="J317" s="41"/>
      <c r="K317" s="26"/>
      <c r="L317" s="26">
        <f>IF(OR(G317="",H317=""),"",G317*H317)</f>
      </c>
      <c r="M317" s="26"/>
      <c r="N317" s="25"/>
      <c r="O317" s="8"/>
    </row>
    <row r="318" ht="14.25">
      <c r="A318" s="23"/>
      <c r="B318" s="7">
        <f>IF(A318="","",INT((A318-Settings!$B$4)/7)+1)</f>
      </c>
      <c r="C318" s="7"/>
      <c r="D318" s="7"/>
      <c r="E318" s="7"/>
      <c r="F318" s="7"/>
      <c r="G318" s="26"/>
      <c r="H318" s="7"/>
      <c r="I318" s="42"/>
      <c r="J318" s="41"/>
      <c r="K318" s="26"/>
      <c r="L318" s="26">
        <f>IF(OR(G318="",H318=""),"",G318*H318)</f>
      </c>
      <c r="M318" s="26"/>
      <c r="N318" s="25"/>
      <c r="O318" s="8"/>
    </row>
    <row r="319" ht="14.25">
      <c r="A319" s="23"/>
      <c r="B319" s="7">
        <f>IF(A319="","",INT((A319-Settings!$B$4)/7)+1)</f>
      </c>
      <c r="C319" s="7"/>
      <c r="D319" s="7"/>
      <c r="E319" s="7"/>
      <c r="F319" s="7"/>
      <c r="G319" s="26"/>
      <c r="H319" s="7"/>
      <c r="I319" s="42"/>
      <c r="J319" s="41"/>
      <c r="K319" s="26"/>
      <c r="L319" s="26">
        <f>IF(OR(G319="",H319=""),"",G319*H319)</f>
      </c>
      <c r="M319" s="26"/>
      <c r="N319" s="25"/>
      <c r="O319" s="8"/>
    </row>
    <row r="320" ht="14.25">
      <c r="A320" s="23"/>
      <c r="B320" s="7">
        <f>IF(A320="","",INT((A320-Settings!$B$4)/7)+1)</f>
      </c>
      <c r="C320" s="7"/>
      <c r="D320" s="7"/>
      <c r="E320" s="7"/>
      <c r="F320" s="7"/>
      <c r="G320" s="26"/>
      <c r="H320" s="7"/>
      <c r="I320" s="42"/>
      <c r="J320" s="41"/>
      <c r="K320" s="26"/>
      <c r="L320" s="26">
        <f>IF(OR(G320="",H320=""),"",G320*H320)</f>
      </c>
      <c r="M320" s="26"/>
      <c r="N320" s="25"/>
      <c r="O320" s="8"/>
    </row>
    <row r="321" ht="14.25">
      <c r="A321" s="23"/>
      <c r="B321" s="7">
        <f>IF(A321="","",INT((A321-Settings!$B$4)/7)+1)</f>
      </c>
      <c r="C321" s="7"/>
      <c r="D321" s="7"/>
      <c r="E321" s="7"/>
      <c r="F321" s="7"/>
      <c r="G321" s="26"/>
      <c r="H321" s="7"/>
      <c r="I321" s="42"/>
      <c r="J321" s="41"/>
      <c r="K321" s="26"/>
      <c r="L321" s="26">
        <f>IF(OR(G321="",H321=""),"",G321*H321)</f>
      </c>
      <c r="M321" s="26"/>
      <c r="N321" s="25"/>
      <c r="O321" s="8"/>
    </row>
    <row r="322" ht="14.25">
      <c r="A322" s="23"/>
      <c r="B322" s="7">
        <f>IF(A322="","",INT((A322-Settings!$B$4)/7)+1)</f>
      </c>
      <c r="C322" s="7"/>
      <c r="D322" s="7"/>
      <c r="E322" s="7"/>
      <c r="F322" s="7"/>
      <c r="G322" s="26"/>
      <c r="H322" s="7"/>
      <c r="I322" s="42"/>
      <c r="J322" s="41"/>
      <c r="K322" s="26"/>
      <c r="L322" s="26">
        <f>IF(OR(G322="",H322=""),"",G322*H322)</f>
      </c>
      <c r="M322" s="26"/>
      <c r="N322" s="25"/>
      <c r="O322" s="8"/>
    </row>
    <row r="323" ht="14.25">
      <c r="A323" s="23"/>
      <c r="B323" s="7">
        <f>IF(A323="","",INT((A323-Settings!$B$4)/7)+1)</f>
      </c>
      <c r="C323" s="7"/>
      <c r="D323" s="7"/>
      <c r="E323" s="7"/>
      <c r="F323" s="7"/>
      <c r="G323" s="26"/>
      <c r="H323" s="7"/>
      <c r="I323" s="42"/>
      <c r="J323" s="41"/>
      <c r="K323" s="26"/>
      <c r="L323" s="26">
        <f>IF(OR(G323="",H323=""),"",G323*H323)</f>
      </c>
      <c r="M323" s="26"/>
      <c r="N323" s="25"/>
      <c r="O323" s="8"/>
    </row>
    <row r="324" ht="14.25">
      <c r="A324" s="23"/>
      <c r="B324" s="7">
        <f>IF(A324="","",INT((A324-Settings!$B$4)/7)+1)</f>
      </c>
      <c r="C324" s="7"/>
      <c r="D324" s="7"/>
      <c r="E324" s="7"/>
      <c r="F324" s="7"/>
      <c r="G324" s="26"/>
      <c r="H324" s="7"/>
      <c r="I324" s="42"/>
      <c r="J324" s="41"/>
      <c r="K324" s="26"/>
      <c r="L324" s="26">
        <f>IF(OR(G324="",H324=""),"",G324*H324)</f>
      </c>
      <c r="M324" s="26"/>
      <c r="N324" s="25"/>
      <c r="O324" s="8"/>
    </row>
    <row r="325" ht="14.25">
      <c r="A325" s="23"/>
      <c r="B325" s="7">
        <f>IF(A325="","",INT((A325-Settings!$B$4)/7)+1)</f>
      </c>
      <c r="C325" s="7"/>
      <c r="D325" s="7"/>
      <c r="E325" s="7"/>
      <c r="F325" s="7"/>
      <c r="G325" s="26"/>
      <c r="H325" s="7"/>
      <c r="I325" s="42"/>
      <c r="J325" s="41"/>
      <c r="K325" s="26"/>
      <c r="L325" s="26">
        <f>IF(OR(G325="",H325=""),"",G325*H325)</f>
      </c>
      <c r="M325" s="26"/>
      <c r="N325" s="25"/>
      <c r="O325" s="8"/>
    </row>
    <row r="326" ht="14.25">
      <c r="A326" s="23"/>
      <c r="B326" s="7">
        <f>IF(A326="","",INT((A326-Settings!$B$4)/7)+1)</f>
      </c>
      <c r="C326" s="7"/>
      <c r="D326" s="7"/>
      <c r="E326" s="7"/>
      <c r="F326" s="7"/>
      <c r="G326" s="26"/>
      <c r="H326" s="7"/>
      <c r="I326" s="42"/>
      <c r="J326" s="41"/>
      <c r="K326" s="26"/>
      <c r="L326" s="26">
        <f>IF(OR(G326="",H326=""),"",G326*H326)</f>
      </c>
      <c r="M326" s="26"/>
      <c r="N326" s="25"/>
      <c r="O326" s="8"/>
    </row>
    <row r="327" ht="14.25">
      <c r="A327" s="23"/>
      <c r="B327" s="7">
        <f>IF(A327="","",INT((A327-Settings!$B$4)/7)+1)</f>
      </c>
      <c r="C327" s="7"/>
      <c r="D327" s="7"/>
      <c r="E327" s="7"/>
      <c r="F327" s="7"/>
      <c r="G327" s="26"/>
      <c r="H327" s="7"/>
      <c r="I327" s="42"/>
      <c r="J327" s="41"/>
      <c r="K327" s="26"/>
      <c r="L327" s="26">
        <f>IF(OR(G327="",H327=""),"",G327*H327)</f>
      </c>
      <c r="M327" s="26"/>
      <c r="N327" s="25"/>
      <c r="O327" s="8"/>
    </row>
    <row r="328" ht="14.25">
      <c r="A328" s="23"/>
      <c r="B328" s="7">
        <f>IF(A328="","",INT((A328-Settings!$B$4)/7)+1)</f>
      </c>
      <c r="C328" s="7"/>
      <c r="D328" s="7"/>
      <c r="E328" s="7"/>
      <c r="F328" s="7"/>
      <c r="G328" s="26"/>
      <c r="H328" s="7"/>
      <c r="I328" s="42"/>
      <c r="J328" s="41"/>
      <c r="K328" s="26"/>
      <c r="L328" s="26">
        <f>IF(OR(G328="",H328=""),"",G328*H328)</f>
      </c>
      <c r="M328" s="26"/>
      <c r="N328" s="25"/>
      <c r="O328" s="8"/>
    </row>
    <row r="329" ht="14.25">
      <c r="A329" s="23"/>
      <c r="B329" s="7">
        <f>IF(A329="","",INT((A329-Settings!$B$4)/7)+1)</f>
      </c>
      <c r="C329" s="7"/>
      <c r="D329" s="7"/>
      <c r="E329" s="7"/>
      <c r="F329" s="7"/>
      <c r="G329" s="26"/>
      <c r="H329" s="7"/>
      <c r="I329" s="42"/>
      <c r="J329" s="41"/>
      <c r="K329" s="26"/>
      <c r="L329" s="26">
        <f>IF(OR(G329="",H329=""),"",G329*H329)</f>
      </c>
      <c r="M329" s="26"/>
      <c r="N329" s="25"/>
      <c r="O329" s="8"/>
    </row>
    <row r="330" ht="14.25">
      <c r="A330" s="23"/>
      <c r="B330" s="7">
        <f>IF(A330="","",INT((A330-Settings!$B$4)/7)+1)</f>
      </c>
      <c r="C330" s="7"/>
      <c r="D330" s="7"/>
      <c r="E330" s="7"/>
      <c r="F330" s="7"/>
      <c r="G330" s="26"/>
      <c r="H330" s="7"/>
      <c r="I330" s="42"/>
      <c r="J330" s="41"/>
      <c r="K330" s="26"/>
      <c r="L330" s="26">
        <f>IF(OR(G330="",H330=""),"",G330*H330)</f>
      </c>
      <c r="M330" s="26"/>
      <c r="N330" s="25"/>
      <c r="O330" s="8"/>
    </row>
    <row r="331" ht="14.25">
      <c r="A331" s="23"/>
      <c r="B331" s="7">
        <f>IF(A331="","",INT((A331-Settings!$B$4)/7)+1)</f>
      </c>
      <c r="C331" s="7"/>
      <c r="D331" s="7"/>
      <c r="E331" s="7"/>
      <c r="F331" s="7"/>
      <c r="G331" s="26"/>
      <c r="H331" s="7"/>
      <c r="I331" s="42"/>
      <c r="J331" s="41"/>
      <c r="K331" s="26"/>
      <c r="L331" s="26">
        <f>IF(OR(G331="",H331=""),"",G331*H331)</f>
      </c>
      <c r="M331" s="26"/>
      <c r="N331" s="25"/>
      <c r="O331" s="8"/>
    </row>
    <row r="332" ht="14.25">
      <c r="A332" s="23"/>
      <c r="B332" s="7">
        <f>IF(A332="","",INT((A332-Settings!$B$4)/7)+1)</f>
      </c>
      <c r="C332" s="7"/>
      <c r="D332" s="7"/>
      <c r="E332" s="7"/>
      <c r="F332" s="7"/>
      <c r="G332" s="26"/>
      <c r="H332" s="7"/>
      <c r="I332" s="42"/>
      <c r="J332" s="41"/>
      <c r="K332" s="26"/>
      <c r="L332" s="26">
        <f>IF(OR(G332="",H332=""),"",G332*H332)</f>
      </c>
      <c r="M332" s="26"/>
      <c r="N332" s="25"/>
      <c r="O332" s="8"/>
    </row>
    <row r="333" ht="14.25">
      <c r="A333" s="23"/>
      <c r="B333" s="7">
        <f>IF(A333="","",INT((A333-Settings!$B$4)/7)+1)</f>
      </c>
      <c r="C333" s="7"/>
      <c r="D333" s="7"/>
      <c r="E333" s="7"/>
      <c r="F333" s="7"/>
      <c r="G333" s="26"/>
      <c r="H333" s="7"/>
      <c r="I333" s="42"/>
      <c r="J333" s="41"/>
      <c r="K333" s="26"/>
      <c r="L333" s="26">
        <f>IF(OR(G333="",H333=""),"",G333*H333)</f>
      </c>
      <c r="M333" s="26"/>
      <c r="N333" s="25"/>
      <c r="O333" s="8"/>
    </row>
    <row r="334" ht="14.25">
      <c r="A334" s="23"/>
      <c r="B334" s="7">
        <f>IF(A334="","",INT((A334-Settings!$B$4)/7)+1)</f>
      </c>
      <c r="C334" s="7"/>
      <c r="D334" s="7"/>
      <c r="E334" s="7"/>
      <c r="F334" s="7"/>
      <c r="G334" s="26"/>
      <c r="H334" s="7"/>
      <c r="I334" s="42"/>
      <c r="J334" s="41"/>
      <c r="K334" s="26"/>
      <c r="L334" s="26">
        <f>IF(OR(G334="",H334=""),"",G334*H334)</f>
      </c>
      <c r="M334" s="26"/>
      <c r="N334" s="25"/>
      <c r="O334" s="8"/>
    </row>
    <row r="335" ht="14.25">
      <c r="A335" s="23"/>
      <c r="B335" s="7">
        <f>IF(A335="","",INT((A335-Settings!$B$4)/7)+1)</f>
      </c>
      <c r="C335" s="7"/>
      <c r="D335" s="7"/>
      <c r="E335" s="7"/>
      <c r="F335" s="7"/>
      <c r="G335" s="26"/>
      <c r="H335" s="7"/>
      <c r="I335" s="42"/>
      <c r="J335" s="41"/>
      <c r="K335" s="26"/>
      <c r="L335" s="26">
        <f>IF(OR(G335="",H335=""),"",G335*H335)</f>
      </c>
      <c r="M335" s="26"/>
      <c r="N335" s="25"/>
      <c r="O335" s="8"/>
    </row>
    <row r="336" ht="14.25">
      <c r="A336" s="23"/>
      <c r="B336" s="7">
        <f>IF(A336="","",INT((A336-Settings!$B$4)/7)+1)</f>
      </c>
      <c r="C336" s="7"/>
      <c r="D336" s="7"/>
      <c r="E336" s="7"/>
      <c r="F336" s="7"/>
      <c r="G336" s="26"/>
      <c r="H336" s="7"/>
      <c r="I336" s="42"/>
      <c r="J336" s="41"/>
      <c r="K336" s="26"/>
      <c r="L336" s="26">
        <f>IF(OR(G336="",H336=""),"",G336*H336)</f>
      </c>
      <c r="M336" s="26"/>
      <c r="N336" s="25"/>
      <c r="O336" s="8"/>
    </row>
    <row r="337" ht="14.25">
      <c r="A337" s="23"/>
      <c r="B337" s="7">
        <f>IF(A337="","",INT((A337-Settings!$B$4)/7)+1)</f>
      </c>
      <c r="C337" s="7"/>
      <c r="D337" s="7"/>
      <c r="E337" s="7"/>
      <c r="F337" s="7"/>
      <c r="G337" s="26"/>
      <c r="H337" s="7"/>
      <c r="I337" s="42"/>
      <c r="J337" s="41"/>
      <c r="K337" s="26"/>
      <c r="L337" s="26">
        <f>IF(OR(G337="",H337=""),"",G337*H337)</f>
      </c>
      <c r="M337" s="26"/>
      <c r="N337" s="25"/>
      <c r="O337" s="8"/>
    </row>
    <row r="338" ht="14.25">
      <c r="A338" s="23"/>
      <c r="B338" s="7">
        <f>IF(A338="","",INT((A338-Settings!$B$4)/7)+1)</f>
      </c>
      <c r="C338" s="7"/>
      <c r="D338" s="7"/>
      <c r="E338" s="7"/>
      <c r="F338" s="7"/>
      <c r="G338" s="26"/>
      <c r="H338" s="7"/>
      <c r="I338" s="42"/>
      <c r="J338" s="41"/>
      <c r="K338" s="26"/>
      <c r="L338" s="26">
        <f>IF(OR(G338="",H338=""),"",G338*H338)</f>
      </c>
      <c r="M338" s="26"/>
      <c r="N338" s="25"/>
      <c r="O338" s="8"/>
    </row>
    <row r="339" ht="14.25">
      <c r="A339" s="23"/>
      <c r="B339" s="7">
        <f>IF(A339="","",INT((A339-Settings!$B$4)/7)+1)</f>
      </c>
      <c r="C339" s="7"/>
      <c r="D339" s="7"/>
      <c r="E339" s="7"/>
      <c r="F339" s="7"/>
      <c r="G339" s="26"/>
      <c r="H339" s="7"/>
      <c r="I339" s="42"/>
      <c r="J339" s="41"/>
      <c r="K339" s="26"/>
      <c r="L339" s="26">
        <f>IF(OR(G339="",H339=""),"",G339*H339)</f>
      </c>
      <c r="M339" s="26"/>
      <c r="N339" s="25"/>
      <c r="O339" s="8"/>
    </row>
    <row r="340" ht="14.25">
      <c r="A340" s="23"/>
      <c r="B340" s="7">
        <f>IF(A340="","",INT((A340-Settings!$B$4)/7)+1)</f>
      </c>
      <c r="C340" s="7"/>
      <c r="D340" s="7"/>
      <c r="E340" s="7"/>
      <c r="F340" s="7"/>
      <c r="G340" s="26"/>
      <c r="H340" s="7"/>
      <c r="I340" s="42"/>
      <c r="J340" s="41"/>
      <c r="K340" s="26"/>
      <c r="L340" s="26">
        <f>IF(OR(G340="",H340=""),"",G340*H340)</f>
      </c>
      <c r="M340" s="26"/>
      <c r="N340" s="25"/>
      <c r="O340" s="8"/>
    </row>
    <row r="341" ht="14.25">
      <c r="A341" s="23"/>
      <c r="B341" s="7">
        <f>IF(A341="","",INT((A341-Settings!$B$4)/7)+1)</f>
      </c>
      <c r="C341" s="7"/>
      <c r="D341" s="7"/>
      <c r="E341" s="7"/>
      <c r="F341" s="7"/>
      <c r="G341" s="26"/>
      <c r="H341" s="7"/>
      <c r="I341" s="42"/>
      <c r="J341" s="41"/>
      <c r="K341" s="26"/>
      <c r="L341" s="26">
        <f>IF(OR(G341="",H341=""),"",G341*H341)</f>
      </c>
      <c r="M341" s="26"/>
      <c r="N341" s="25"/>
      <c r="O341" s="8"/>
    </row>
    <row r="342" ht="14.25">
      <c r="A342" s="23"/>
      <c r="B342" s="7">
        <f>IF(A342="","",INT((A342-Settings!$B$4)/7)+1)</f>
      </c>
      <c r="C342" s="7"/>
      <c r="D342" s="7"/>
      <c r="E342" s="7"/>
      <c r="F342" s="7"/>
      <c r="G342" s="26"/>
      <c r="H342" s="7"/>
      <c r="I342" s="42"/>
      <c r="J342" s="41"/>
      <c r="K342" s="26"/>
      <c r="L342" s="26">
        <f>IF(OR(G342="",H342=""),"",G342*H342)</f>
      </c>
      <c r="M342" s="26"/>
      <c r="N342" s="25"/>
      <c r="O342" s="8"/>
    </row>
    <row r="343" ht="14.25">
      <c r="A343" s="23"/>
      <c r="B343" s="7">
        <f>IF(A343="","",INT((A343-Settings!$B$4)/7)+1)</f>
      </c>
      <c r="C343" s="7"/>
      <c r="D343" s="7"/>
      <c r="E343" s="7"/>
      <c r="F343" s="7"/>
      <c r="G343" s="26"/>
      <c r="H343" s="7"/>
      <c r="I343" s="42"/>
      <c r="J343" s="41"/>
      <c r="K343" s="26"/>
      <c r="L343" s="26">
        <f>IF(OR(G343="",H343=""),"",G343*H343)</f>
      </c>
      <c r="M343" s="26"/>
      <c r="N343" s="25"/>
      <c r="O343" s="8"/>
    </row>
    <row r="344" ht="14.25">
      <c r="A344" s="23"/>
      <c r="B344" s="7">
        <f>IF(A344="","",INT((A344-Settings!$B$4)/7)+1)</f>
      </c>
      <c r="C344" s="7"/>
      <c r="D344" s="7"/>
      <c r="E344" s="7"/>
      <c r="F344" s="7"/>
      <c r="G344" s="26"/>
      <c r="H344" s="7"/>
      <c r="I344" s="42"/>
      <c r="J344" s="41"/>
      <c r="K344" s="26"/>
      <c r="L344" s="26">
        <f>IF(OR(G344="",H344=""),"",G344*H344)</f>
      </c>
      <c r="M344" s="26"/>
      <c r="N344" s="25"/>
      <c r="O344" s="8"/>
    </row>
    <row r="345" ht="14.25">
      <c r="A345" s="23"/>
      <c r="B345" s="7">
        <f>IF(A345="","",INT((A345-Settings!$B$4)/7)+1)</f>
      </c>
      <c r="C345" s="7"/>
      <c r="D345" s="7"/>
      <c r="E345" s="7"/>
      <c r="F345" s="7"/>
      <c r="G345" s="26"/>
      <c r="H345" s="7"/>
      <c r="I345" s="42"/>
      <c r="J345" s="41"/>
      <c r="K345" s="26"/>
      <c r="L345" s="26">
        <f>IF(OR(G345="",H345=""),"",G345*H345)</f>
      </c>
      <c r="M345" s="26"/>
      <c r="N345" s="25"/>
      <c r="O345" s="8"/>
    </row>
    <row r="346" ht="14.25">
      <c r="A346" s="23"/>
      <c r="B346" s="7">
        <f>IF(A346="","",INT((A346-Settings!$B$4)/7)+1)</f>
      </c>
      <c r="C346" s="7"/>
      <c r="D346" s="7"/>
      <c r="E346" s="7"/>
      <c r="F346" s="7"/>
      <c r="G346" s="26"/>
      <c r="H346" s="7"/>
      <c r="I346" s="42"/>
      <c r="J346" s="41"/>
      <c r="K346" s="26"/>
      <c r="L346" s="26">
        <f>IF(OR(G346="",H346=""),"",G346*H346)</f>
      </c>
      <c r="M346" s="26"/>
      <c r="N346" s="25"/>
      <c r="O346" s="8"/>
    </row>
    <row r="347" ht="14.25">
      <c r="A347" s="23"/>
      <c r="B347" s="7">
        <f>IF(A347="","",INT((A347-Settings!$B$4)/7)+1)</f>
      </c>
      <c r="C347" s="7"/>
      <c r="D347" s="7"/>
      <c r="E347" s="7"/>
      <c r="F347" s="7"/>
      <c r="G347" s="26"/>
      <c r="H347" s="7"/>
      <c r="I347" s="42"/>
      <c r="J347" s="41"/>
      <c r="K347" s="26"/>
      <c r="L347" s="26">
        <f>IF(OR(G347="",H347=""),"",G347*H347)</f>
      </c>
      <c r="M347" s="26"/>
      <c r="N347" s="25"/>
      <c r="O347" s="8"/>
    </row>
    <row r="348" ht="14.25">
      <c r="A348" s="23"/>
      <c r="B348" s="7">
        <f>IF(A348="","",INT((A348-Settings!$B$4)/7)+1)</f>
      </c>
      <c r="C348" s="7"/>
      <c r="D348" s="7"/>
      <c r="E348" s="7"/>
      <c r="F348" s="7"/>
      <c r="G348" s="26"/>
      <c r="H348" s="7"/>
      <c r="I348" s="42"/>
      <c r="J348" s="41"/>
      <c r="K348" s="26"/>
      <c r="L348" s="26">
        <f>IF(OR(G348="",H348=""),"",G348*H348)</f>
      </c>
      <c r="M348" s="26"/>
      <c r="N348" s="25"/>
      <c r="O348" s="8"/>
    </row>
    <row r="349" ht="14.25">
      <c r="A349" s="23"/>
      <c r="B349" s="7">
        <f>IF(A349="","",INT((A349-Settings!$B$4)/7)+1)</f>
      </c>
      <c r="C349" s="7"/>
      <c r="D349" s="7"/>
      <c r="E349" s="7"/>
      <c r="F349" s="7"/>
      <c r="G349" s="26"/>
      <c r="H349" s="7"/>
      <c r="I349" s="42"/>
      <c r="J349" s="41"/>
      <c r="K349" s="26"/>
      <c r="L349" s="26">
        <f>IF(OR(G349="",H349=""),"",G349*H349)</f>
      </c>
      <c r="M349" s="26"/>
      <c r="N349" s="25"/>
      <c r="O349" s="8"/>
    </row>
    <row r="350" ht="14.25">
      <c r="A350" s="23"/>
      <c r="B350" s="7">
        <f>IF(A350="","",INT((A350-Settings!$B$4)/7)+1)</f>
      </c>
      <c r="C350" s="7"/>
      <c r="D350" s="7"/>
      <c r="E350" s="7"/>
      <c r="F350" s="7"/>
      <c r="G350" s="26"/>
      <c r="H350" s="7"/>
      <c r="I350" s="42"/>
      <c r="J350" s="41"/>
      <c r="K350" s="26"/>
      <c r="L350" s="26">
        <f>IF(OR(G350="",H350=""),"",G350*H350)</f>
      </c>
      <c r="M350" s="26"/>
      <c r="N350" s="25"/>
      <c r="O350" s="8"/>
    </row>
    <row r="351" ht="14.25">
      <c r="A351" s="23"/>
      <c r="B351" s="7">
        <f>IF(A351="","",INT((A351-Settings!$B$4)/7)+1)</f>
      </c>
      <c r="C351" s="7"/>
      <c r="D351" s="7"/>
      <c r="E351" s="7"/>
      <c r="F351" s="7"/>
      <c r="G351" s="26"/>
      <c r="H351" s="7"/>
      <c r="I351" s="42"/>
      <c r="J351" s="41"/>
      <c r="K351" s="26"/>
      <c r="L351" s="26">
        <f>IF(OR(G351="",H351=""),"",G351*H351)</f>
      </c>
      <c r="M351" s="26"/>
      <c r="N351" s="25"/>
      <c r="O351" s="8"/>
    </row>
    <row r="352" ht="14.25">
      <c r="A352" s="23"/>
      <c r="B352" s="7">
        <f>IF(A352="","",INT((A352-Settings!$B$4)/7)+1)</f>
      </c>
      <c r="C352" s="7"/>
      <c r="D352" s="7"/>
      <c r="E352" s="7"/>
      <c r="F352" s="7"/>
      <c r="G352" s="26"/>
      <c r="H352" s="7"/>
      <c r="I352" s="42"/>
      <c r="J352" s="41"/>
      <c r="K352" s="26"/>
      <c r="L352" s="26">
        <f>IF(OR(G352="",H352=""),"",G352*H352)</f>
      </c>
      <c r="M352" s="26"/>
      <c r="N352" s="25"/>
      <c r="O352" s="8"/>
    </row>
    <row r="353" ht="14.25">
      <c r="A353" s="23"/>
      <c r="B353" s="7">
        <f>IF(A353="","",INT((A353-Settings!$B$4)/7)+1)</f>
      </c>
      <c r="C353" s="7"/>
      <c r="D353" s="7"/>
      <c r="E353" s="7"/>
      <c r="F353" s="7"/>
      <c r="G353" s="26"/>
      <c r="H353" s="7"/>
      <c r="I353" s="42"/>
      <c r="J353" s="41"/>
      <c r="K353" s="26"/>
      <c r="L353" s="26">
        <f>IF(OR(G353="",H353=""),"",G353*H353)</f>
      </c>
      <c r="M353" s="26"/>
      <c r="N353" s="25"/>
      <c r="O353" s="8"/>
    </row>
    <row r="354" ht="14.25">
      <c r="A354" s="23"/>
      <c r="B354" s="7">
        <f>IF(A354="","",INT((A354-Settings!$B$4)/7)+1)</f>
      </c>
      <c r="C354" s="7"/>
      <c r="D354" s="7"/>
      <c r="E354" s="7"/>
      <c r="F354" s="7"/>
      <c r="G354" s="26"/>
      <c r="H354" s="7"/>
      <c r="I354" s="42"/>
      <c r="J354" s="41"/>
      <c r="K354" s="26"/>
      <c r="L354" s="26">
        <f>IF(OR(G354="",H354=""),"",G354*H354)</f>
      </c>
      <c r="M354" s="26"/>
      <c r="N354" s="25"/>
      <c r="O354" s="8"/>
    </row>
    <row r="355" ht="14.25">
      <c r="A355" s="23"/>
      <c r="B355" s="7">
        <f>IF(A355="","",INT((A355-Settings!$B$4)/7)+1)</f>
      </c>
      <c r="C355" s="7"/>
      <c r="D355" s="7"/>
      <c r="E355" s="7"/>
      <c r="F355" s="7"/>
      <c r="G355" s="26"/>
      <c r="H355" s="7"/>
      <c r="I355" s="42"/>
      <c r="J355" s="41"/>
      <c r="K355" s="26"/>
      <c r="L355" s="26">
        <f>IF(OR(G355="",H355=""),"",G355*H355)</f>
      </c>
      <c r="M355" s="26"/>
      <c r="N355" s="25"/>
      <c r="O355" s="8"/>
    </row>
    <row r="356" ht="14.25">
      <c r="A356" s="23"/>
      <c r="B356" s="7">
        <f>IF(A356="","",INT((A356-Settings!$B$4)/7)+1)</f>
      </c>
      <c r="C356" s="7"/>
      <c r="D356" s="7"/>
      <c r="E356" s="7"/>
      <c r="F356" s="7"/>
      <c r="G356" s="26"/>
      <c r="H356" s="7"/>
      <c r="I356" s="42"/>
      <c r="J356" s="41"/>
      <c r="K356" s="26"/>
      <c r="L356" s="26">
        <f>IF(OR(G356="",H356=""),"",G356*H356)</f>
      </c>
      <c r="M356" s="26"/>
      <c r="N356" s="25"/>
      <c r="O356" s="8"/>
    </row>
    <row r="357" ht="14.25">
      <c r="A357" s="23"/>
      <c r="B357" s="7">
        <f>IF(A357="","",INT((A357-Settings!$B$4)/7)+1)</f>
      </c>
      <c r="C357" s="7"/>
      <c r="D357" s="7"/>
      <c r="E357" s="7"/>
      <c r="F357" s="7"/>
      <c r="G357" s="26"/>
      <c r="H357" s="7"/>
      <c r="I357" s="42"/>
      <c r="J357" s="41"/>
      <c r="K357" s="26"/>
      <c r="L357" s="26">
        <f>IF(OR(G357="",H357=""),"",G357*H357)</f>
      </c>
      <c r="M357" s="26"/>
      <c r="N357" s="25"/>
      <c r="O357" s="8"/>
    </row>
    <row r="358" ht="14.25">
      <c r="A358" s="23"/>
      <c r="B358" s="7">
        <f>IF(A358="","",INT((A358-Settings!$B$4)/7)+1)</f>
      </c>
      <c r="C358" s="7"/>
      <c r="D358" s="7"/>
      <c r="E358" s="7"/>
      <c r="F358" s="7"/>
      <c r="G358" s="26"/>
      <c r="H358" s="7"/>
      <c r="I358" s="42"/>
      <c r="J358" s="41"/>
      <c r="K358" s="26"/>
      <c r="L358" s="26">
        <f>IF(OR(G358="",H358=""),"",G358*H358)</f>
      </c>
      <c r="M358" s="26"/>
      <c r="N358" s="25"/>
      <c r="O358" s="8"/>
    </row>
    <row r="359" ht="14.25">
      <c r="A359" s="23"/>
      <c r="B359" s="7">
        <f>IF(A359="","",INT((A359-Settings!$B$4)/7)+1)</f>
      </c>
      <c r="C359" s="7"/>
      <c r="D359" s="7"/>
      <c r="E359" s="7"/>
      <c r="F359" s="7"/>
      <c r="G359" s="26"/>
      <c r="H359" s="7"/>
      <c r="I359" s="42"/>
      <c r="J359" s="41"/>
      <c r="K359" s="26"/>
      <c r="L359" s="26">
        <f>IF(OR(G359="",H359=""),"",G359*H359)</f>
      </c>
      <c r="M359" s="26"/>
      <c r="N359" s="25"/>
      <c r="O359" s="8"/>
    </row>
    <row r="360" ht="14.25">
      <c r="A360" s="23"/>
      <c r="B360" s="7">
        <f>IF(A360="","",INT((A360-Settings!$B$4)/7)+1)</f>
      </c>
      <c r="C360" s="7"/>
      <c r="D360" s="7"/>
      <c r="E360" s="7"/>
      <c r="F360" s="7"/>
      <c r="G360" s="26"/>
      <c r="H360" s="7"/>
      <c r="I360" s="42"/>
      <c r="J360" s="41"/>
      <c r="K360" s="26"/>
      <c r="L360" s="26">
        <f>IF(OR(G360="",H360=""),"",G360*H360)</f>
      </c>
      <c r="M360" s="26"/>
      <c r="N360" s="25"/>
      <c r="O360" s="8"/>
    </row>
    <row r="361" ht="14.25">
      <c r="A361" s="23"/>
      <c r="B361" s="7">
        <f>IF(A361="","",INT((A361-Settings!$B$4)/7)+1)</f>
      </c>
      <c r="C361" s="7"/>
      <c r="D361" s="7"/>
      <c r="E361" s="7"/>
      <c r="F361" s="7"/>
      <c r="G361" s="26"/>
      <c r="H361" s="7"/>
      <c r="I361" s="42"/>
      <c r="J361" s="41"/>
      <c r="K361" s="26"/>
      <c r="L361" s="26">
        <f>IF(OR(G361="",H361=""),"",G361*H361)</f>
      </c>
      <c r="M361" s="26"/>
      <c r="N361" s="25"/>
      <c r="O361" s="8"/>
    </row>
    <row r="362" ht="14.25">
      <c r="A362" s="23"/>
      <c r="B362" s="7">
        <f>IF(A362="","",INT((A362-Settings!$B$4)/7)+1)</f>
      </c>
      <c r="C362" s="7"/>
      <c r="D362" s="7"/>
      <c r="E362" s="7"/>
      <c r="F362" s="7"/>
      <c r="G362" s="26"/>
      <c r="H362" s="7"/>
      <c r="I362" s="42"/>
      <c r="J362" s="41"/>
      <c r="K362" s="26"/>
      <c r="L362" s="26">
        <f>IF(OR(G362="",H362=""),"",G362*H362)</f>
      </c>
      <c r="M362" s="26"/>
      <c r="N362" s="25"/>
      <c r="O362" s="8"/>
    </row>
    <row r="363" ht="14.25">
      <c r="A363" s="23"/>
      <c r="B363" s="7">
        <f>IF(A363="","",INT((A363-Settings!$B$4)/7)+1)</f>
      </c>
      <c r="C363" s="7"/>
      <c r="D363" s="7"/>
      <c r="E363" s="7"/>
      <c r="F363" s="7"/>
      <c r="G363" s="26"/>
      <c r="H363" s="7"/>
      <c r="I363" s="42"/>
      <c r="J363" s="41"/>
      <c r="K363" s="26"/>
      <c r="L363" s="26">
        <f>IF(OR(G363="",H363=""),"",G363*H363)</f>
      </c>
      <c r="M363" s="26"/>
      <c r="N363" s="25"/>
      <c r="O363" s="8"/>
    </row>
    <row r="364" ht="14.25">
      <c r="A364" s="23"/>
      <c r="B364" s="7">
        <f>IF(A364="","",INT((A364-Settings!$B$4)/7)+1)</f>
      </c>
      <c r="C364" s="7"/>
      <c r="D364" s="7"/>
      <c r="E364" s="7"/>
      <c r="F364" s="7"/>
      <c r="G364" s="26"/>
      <c r="H364" s="7"/>
      <c r="I364" s="42"/>
      <c r="J364" s="41"/>
      <c r="K364" s="26"/>
      <c r="L364" s="26">
        <f>IF(OR(G364="",H364=""),"",G364*H364)</f>
      </c>
      <c r="M364" s="26"/>
      <c r="N364" s="25"/>
      <c r="O364" s="8"/>
    </row>
    <row r="365" ht="14.25">
      <c r="A365" s="23"/>
      <c r="B365" s="7">
        <f>IF(A365="","",INT((A365-Settings!$B$4)/7)+1)</f>
      </c>
      <c r="C365" s="7"/>
      <c r="D365" s="7"/>
      <c r="E365" s="7"/>
      <c r="F365" s="7"/>
      <c r="G365" s="26"/>
      <c r="H365" s="7"/>
      <c r="I365" s="42"/>
      <c r="J365" s="41"/>
      <c r="K365" s="26"/>
      <c r="L365" s="26">
        <f>IF(OR(G365="",H365=""),"",G365*H365)</f>
      </c>
      <c r="M365" s="26"/>
      <c r="N365" s="25"/>
      <c r="O365" s="8"/>
    </row>
    <row r="366" ht="14.25">
      <c r="A366" s="23"/>
      <c r="B366" s="7">
        <f>IF(A366="","",INT((A366-Settings!$B$4)/7)+1)</f>
      </c>
      <c r="C366" s="7"/>
      <c r="D366" s="7"/>
      <c r="E366" s="7"/>
      <c r="F366" s="7"/>
      <c r="G366" s="26"/>
      <c r="H366" s="7"/>
      <c r="I366" s="42"/>
      <c r="J366" s="41"/>
      <c r="K366" s="26"/>
      <c r="L366" s="26">
        <f>IF(OR(G366="",H366=""),"",G366*H366)</f>
      </c>
      <c r="M366" s="26"/>
      <c r="N366" s="25"/>
      <c r="O366" s="8"/>
    </row>
    <row r="367" ht="14.25">
      <c r="A367" s="23"/>
      <c r="B367" s="7">
        <f>IF(A367="","",INT((A367-Settings!$B$4)/7)+1)</f>
      </c>
      <c r="C367" s="7"/>
      <c r="D367" s="7"/>
      <c r="E367" s="7"/>
      <c r="F367" s="7"/>
      <c r="G367" s="26"/>
      <c r="H367" s="7"/>
      <c r="I367" s="42"/>
      <c r="J367" s="41"/>
      <c r="K367" s="26"/>
      <c r="L367" s="26">
        <f>IF(OR(G367="",H367=""),"",G367*H367)</f>
      </c>
      <c r="M367" s="26"/>
      <c r="N367" s="25"/>
      <c r="O367" s="8"/>
    </row>
    <row r="368" ht="14.25">
      <c r="A368" s="23"/>
      <c r="B368" s="7">
        <f>IF(A368="","",INT((A368-Settings!$B$4)/7)+1)</f>
      </c>
      <c r="C368" s="7"/>
      <c r="D368" s="7"/>
      <c r="E368" s="7"/>
      <c r="F368" s="7"/>
      <c r="G368" s="26"/>
      <c r="H368" s="7"/>
      <c r="I368" s="42"/>
      <c r="J368" s="41"/>
      <c r="K368" s="26"/>
      <c r="L368" s="26">
        <f>IF(OR(G368="",H368=""),"",G368*H368)</f>
      </c>
      <c r="M368" s="26"/>
      <c r="N368" s="25"/>
      <c r="O368" s="8"/>
    </row>
    <row r="369" ht="14.25">
      <c r="A369" s="23"/>
      <c r="B369" s="7">
        <f>IF(A369="","",INT((A369-Settings!$B$4)/7)+1)</f>
      </c>
      <c r="C369" s="7"/>
      <c r="D369" s="7"/>
      <c r="E369" s="7"/>
      <c r="F369" s="7"/>
      <c r="G369" s="26"/>
      <c r="H369" s="7"/>
      <c r="I369" s="42"/>
      <c r="J369" s="41"/>
      <c r="K369" s="26"/>
      <c r="L369" s="26">
        <f>IF(OR(G369="",H369=""),"",G369*H369)</f>
      </c>
      <c r="M369" s="26"/>
      <c r="N369" s="25"/>
      <c r="O369" s="8"/>
    </row>
    <row r="370" ht="14.25">
      <c r="A370" s="23"/>
      <c r="B370" s="7">
        <f>IF(A370="","",INT((A370-Settings!$B$4)/7)+1)</f>
      </c>
      <c r="C370" s="7"/>
      <c r="D370" s="7"/>
      <c r="E370" s="7"/>
      <c r="F370" s="7"/>
      <c r="G370" s="26"/>
      <c r="H370" s="7"/>
      <c r="I370" s="42"/>
      <c r="J370" s="41"/>
      <c r="K370" s="26"/>
      <c r="L370" s="26">
        <f>IF(OR(G370="",H370=""),"",G370*H370)</f>
      </c>
      <c r="M370" s="26"/>
      <c r="N370" s="25"/>
      <c r="O370" s="8"/>
    </row>
    <row r="371" ht="14.25">
      <c r="A371" s="23"/>
      <c r="B371" s="7">
        <f>IF(A371="","",INT((A371-Settings!$B$4)/7)+1)</f>
      </c>
      <c r="C371" s="7"/>
      <c r="D371" s="7"/>
      <c r="E371" s="7"/>
      <c r="F371" s="7"/>
      <c r="G371" s="26"/>
      <c r="H371" s="7"/>
      <c r="I371" s="42"/>
      <c r="J371" s="41"/>
      <c r="K371" s="26"/>
      <c r="L371" s="26">
        <f>IF(OR(G371="",H371=""),"",G371*H371)</f>
      </c>
      <c r="M371" s="26"/>
      <c r="N371" s="25"/>
      <c r="O371" s="8"/>
    </row>
    <row r="372" ht="14.25">
      <c r="A372" s="23"/>
      <c r="B372" s="7">
        <f>IF(A372="","",INT((A372-Settings!$B$4)/7)+1)</f>
      </c>
      <c r="C372" s="7"/>
      <c r="D372" s="7"/>
      <c r="E372" s="7"/>
      <c r="F372" s="7"/>
      <c r="G372" s="26"/>
      <c r="H372" s="7"/>
      <c r="I372" s="42"/>
      <c r="J372" s="41"/>
      <c r="K372" s="26"/>
      <c r="L372" s="26">
        <f>IF(OR(G372="",H372=""),"",G372*H372)</f>
      </c>
      <c r="M372" s="26"/>
      <c r="N372" s="25"/>
      <c r="O372" s="8"/>
    </row>
    <row r="373" ht="14.25">
      <c r="A373" s="23"/>
      <c r="B373" s="7">
        <f>IF(A373="","",INT((A373-Settings!$B$4)/7)+1)</f>
      </c>
      <c r="C373" s="7"/>
      <c r="D373" s="7"/>
      <c r="E373" s="7"/>
      <c r="F373" s="7"/>
      <c r="G373" s="26"/>
      <c r="H373" s="7"/>
      <c r="I373" s="42"/>
      <c r="J373" s="41"/>
      <c r="K373" s="26"/>
      <c r="L373" s="26">
        <f>IF(OR(G373="",H373=""),"",G373*H373)</f>
      </c>
      <c r="M373" s="26"/>
      <c r="N373" s="25"/>
      <c r="O373" s="8"/>
    </row>
    <row r="374" ht="14.25">
      <c r="A374" s="23"/>
      <c r="B374" s="7">
        <f>IF(A374="","",INT((A374-Settings!$B$4)/7)+1)</f>
      </c>
      <c r="C374" s="7"/>
      <c r="D374" s="7"/>
      <c r="E374" s="7"/>
      <c r="F374" s="7"/>
      <c r="G374" s="26"/>
      <c r="H374" s="7"/>
      <c r="I374" s="42"/>
      <c r="J374" s="41"/>
      <c r="K374" s="26"/>
      <c r="L374" s="26">
        <f>IF(OR(G374="",H374=""),"",G374*H374)</f>
      </c>
      <c r="M374" s="26"/>
      <c r="N374" s="25"/>
      <c r="O374" s="8"/>
    </row>
    <row r="375" ht="14.25">
      <c r="A375" s="23"/>
      <c r="B375" s="7">
        <f>IF(A375="","",INT((A375-Settings!$B$4)/7)+1)</f>
      </c>
      <c r="C375" s="7"/>
      <c r="D375" s="7"/>
      <c r="E375" s="7"/>
      <c r="F375" s="7"/>
      <c r="G375" s="26"/>
      <c r="H375" s="7"/>
      <c r="I375" s="42"/>
      <c r="J375" s="41"/>
      <c r="K375" s="26"/>
      <c r="L375" s="26">
        <f>IF(OR(G375="",H375=""),"",G375*H375)</f>
      </c>
      <c r="M375" s="26"/>
      <c r="N375" s="25"/>
      <c r="O375" s="8"/>
    </row>
    <row r="376" ht="14.25">
      <c r="A376" s="23"/>
      <c r="B376" s="7">
        <f>IF(A376="","",INT((A376-Settings!$B$4)/7)+1)</f>
      </c>
      <c r="C376" s="7"/>
      <c r="D376" s="7"/>
      <c r="E376" s="7"/>
      <c r="F376" s="7"/>
      <c r="G376" s="26"/>
      <c r="H376" s="7"/>
      <c r="I376" s="42"/>
      <c r="J376" s="41"/>
      <c r="K376" s="26"/>
      <c r="L376" s="26">
        <f>IF(OR(G376="",H376=""),"",G376*H376)</f>
      </c>
      <c r="M376" s="26"/>
      <c r="N376" s="25"/>
      <c r="O376" s="8"/>
    </row>
    <row r="377" ht="14.25">
      <c r="A377" s="23"/>
      <c r="B377" s="7">
        <f>IF(A377="","",INT((A377-Settings!$B$4)/7)+1)</f>
      </c>
      <c r="C377" s="7"/>
      <c r="D377" s="7"/>
      <c r="E377" s="7"/>
      <c r="F377" s="7"/>
      <c r="G377" s="26"/>
      <c r="H377" s="7"/>
      <c r="I377" s="42"/>
      <c r="J377" s="41"/>
      <c r="K377" s="26"/>
      <c r="L377" s="26">
        <f>IF(OR(G377="",H377=""),"",G377*H377)</f>
      </c>
      <c r="M377" s="26"/>
      <c r="N377" s="25"/>
      <c r="O377" s="8"/>
    </row>
    <row r="378" ht="14.25">
      <c r="A378" s="23"/>
      <c r="B378" s="7">
        <f>IF(A378="","",INT((A378-Settings!$B$4)/7)+1)</f>
      </c>
      <c r="C378" s="7"/>
      <c r="D378" s="7"/>
      <c r="E378" s="7"/>
      <c r="F378" s="7"/>
      <c r="G378" s="26"/>
      <c r="H378" s="7"/>
      <c r="I378" s="42"/>
      <c r="J378" s="41"/>
      <c r="K378" s="26"/>
      <c r="L378" s="26">
        <f>IF(OR(G378="",H378=""),"",G378*H378)</f>
      </c>
      <c r="M378" s="26"/>
      <c r="N378" s="25"/>
      <c r="O378" s="8"/>
    </row>
    <row r="379" ht="14.25">
      <c r="A379" s="23"/>
      <c r="B379" s="7">
        <f>IF(A379="","",INT((A379-Settings!$B$4)/7)+1)</f>
      </c>
      <c r="C379" s="7"/>
      <c r="D379" s="7"/>
      <c r="E379" s="7"/>
      <c r="F379" s="7"/>
      <c r="G379" s="26"/>
      <c r="H379" s="7"/>
      <c r="I379" s="42"/>
      <c r="J379" s="41"/>
      <c r="K379" s="26"/>
      <c r="L379" s="26">
        <f>IF(OR(G379="",H379=""),"",G379*H379)</f>
      </c>
      <c r="M379" s="26"/>
      <c r="N379" s="25"/>
      <c r="O379" s="8"/>
    </row>
    <row r="380" ht="14.25">
      <c r="A380" s="23"/>
      <c r="B380" s="7">
        <f>IF(A380="","",INT((A380-Settings!$B$4)/7)+1)</f>
      </c>
      <c r="C380" s="7"/>
      <c r="D380" s="7"/>
      <c r="E380" s="7"/>
      <c r="F380" s="7"/>
      <c r="G380" s="26"/>
      <c r="H380" s="7"/>
      <c r="I380" s="42"/>
      <c r="J380" s="41"/>
      <c r="K380" s="26"/>
      <c r="L380" s="26">
        <f>IF(OR(G380="",H380=""),"",G380*H380)</f>
      </c>
      <c r="M380" s="26"/>
      <c r="N380" s="25"/>
      <c r="O380" s="8"/>
    </row>
    <row r="381" ht="14.25">
      <c r="A381" s="23"/>
      <c r="B381" s="7">
        <f>IF(A381="","",INT((A381-Settings!$B$4)/7)+1)</f>
      </c>
      <c r="C381" s="7"/>
      <c r="D381" s="7"/>
      <c r="E381" s="7"/>
      <c r="F381" s="7"/>
      <c r="G381" s="26"/>
      <c r="H381" s="7"/>
      <c r="I381" s="42"/>
      <c r="J381" s="41"/>
      <c r="K381" s="26"/>
      <c r="L381" s="26">
        <f>IF(OR(G381="",H381=""),"",G381*H381)</f>
      </c>
      <c r="M381" s="26"/>
      <c r="N381" s="25"/>
      <c r="O381" s="8"/>
    </row>
    <row r="382" ht="14.25">
      <c r="A382" s="23"/>
      <c r="B382" s="7">
        <f>IF(A382="","",INT((A382-Settings!$B$4)/7)+1)</f>
      </c>
      <c r="C382" s="7"/>
      <c r="D382" s="7"/>
      <c r="E382" s="7"/>
      <c r="F382" s="7"/>
      <c r="G382" s="26"/>
      <c r="H382" s="7"/>
      <c r="I382" s="42"/>
      <c r="J382" s="41"/>
      <c r="K382" s="26"/>
      <c r="L382" s="26">
        <f>IF(OR(G382="",H382=""),"",G382*H382)</f>
      </c>
      <c r="M382" s="26"/>
      <c r="N382" s="25"/>
      <c r="O382" s="8"/>
    </row>
    <row r="383" ht="14.25">
      <c r="A383" s="23"/>
      <c r="B383" s="7">
        <f>IF(A383="","",INT((A383-Settings!$B$4)/7)+1)</f>
      </c>
      <c r="C383" s="7"/>
      <c r="D383" s="7"/>
      <c r="E383" s="7"/>
      <c r="F383" s="7"/>
      <c r="G383" s="26"/>
      <c r="H383" s="7"/>
      <c r="I383" s="42"/>
      <c r="J383" s="41"/>
      <c r="K383" s="26"/>
      <c r="L383" s="26">
        <f>IF(OR(G383="",H383=""),"",G383*H383)</f>
      </c>
      <c r="M383" s="26"/>
      <c r="N383" s="25"/>
      <c r="O383" s="8"/>
    </row>
    <row r="384" ht="14.25">
      <c r="A384" s="23"/>
      <c r="B384" s="7">
        <f>IF(A384="","",INT((A384-Settings!$B$4)/7)+1)</f>
      </c>
      <c r="C384" s="7"/>
      <c r="D384" s="7"/>
      <c r="E384" s="7"/>
      <c r="F384" s="7"/>
      <c r="G384" s="26"/>
      <c r="H384" s="7"/>
      <c r="I384" s="42"/>
      <c r="J384" s="41"/>
      <c r="K384" s="26"/>
      <c r="L384" s="26">
        <f>IF(OR(G384="",H384=""),"",G384*H384)</f>
      </c>
      <c r="M384" s="26"/>
      <c r="N384" s="25"/>
      <c r="O384" s="8"/>
    </row>
    <row r="385" ht="14.25">
      <c r="A385" s="23"/>
      <c r="B385" s="7">
        <f>IF(A385="","",INT((A385-Settings!$B$4)/7)+1)</f>
      </c>
      <c r="C385" s="7"/>
      <c r="D385" s="7"/>
      <c r="E385" s="7"/>
      <c r="F385" s="7"/>
      <c r="G385" s="26"/>
      <c r="H385" s="7"/>
      <c r="I385" s="42"/>
      <c r="J385" s="41"/>
      <c r="K385" s="26"/>
      <c r="L385" s="26">
        <f>IF(OR(G385="",H385=""),"",G385*H385)</f>
      </c>
      <c r="M385" s="26"/>
      <c r="N385" s="25"/>
      <c r="O385" s="8"/>
    </row>
    <row r="386" ht="14.25">
      <c r="A386" s="23"/>
      <c r="B386" s="7">
        <f>IF(A386="","",INT((A386-Settings!$B$4)/7)+1)</f>
      </c>
      <c r="C386" s="7"/>
      <c r="D386" s="7"/>
      <c r="E386" s="7"/>
      <c r="F386" s="7"/>
      <c r="G386" s="26"/>
      <c r="H386" s="7"/>
      <c r="I386" s="42"/>
      <c r="J386" s="41"/>
      <c r="K386" s="26"/>
      <c r="L386" s="26">
        <f>IF(OR(G386="",H386=""),"",G386*H386)</f>
      </c>
      <c r="M386" s="26"/>
      <c r="N386" s="25"/>
      <c r="O386" s="8"/>
    </row>
    <row r="387" ht="14.25">
      <c r="A387" s="23"/>
      <c r="B387" s="7">
        <f>IF(A387="","",INT((A387-Settings!$B$4)/7)+1)</f>
      </c>
      <c r="C387" s="7"/>
      <c r="D387" s="7"/>
      <c r="E387" s="7"/>
      <c r="F387" s="7"/>
      <c r="G387" s="26"/>
      <c r="H387" s="7"/>
      <c r="I387" s="42"/>
      <c r="J387" s="41"/>
      <c r="K387" s="26"/>
      <c r="L387" s="26">
        <f>IF(OR(G387="",H387=""),"",G387*H387)</f>
      </c>
      <c r="M387" s="26"/>
      <c r="N387" s="25"/>
      <c r="O387" s="8"/>
    </row>
    <row r="388" ht="14.25">
      <c r="A388" s="23"/>
      <c r="B388" s="7">
        <f>IF(A388="","",INT((A388-Settings!$B$4)/7)+1)</f>
      </c>
      <c r="C388" s="7"/>
      <c r="D388" s="7"/>
      <c r="E388" s="7"/>
      <c r="F388" s="7"/>
      <c r="G388" s="26"/>
      <c r="H388" s="7"/>
      <c r="I388" s="42"/>
      <c r="J388" s="41"/>
      <c r="K388" s="26"/>
      <c r="L388" s="26">
        <f>IF(OR(G388="",H388=""),"",G388*H388)</f>
      </c>
      <c r="M388" s="26"/>
      <c r="N388" s="25"/>
      <c r="O388" s="8"/>
    </row>
    <row r="389" ht="14.25">
      <c r="A389" s="23"/>
      <c r="B389" s="7">
        <f>IF(A389="","",INT((A389-Settings!$B$4)/7)+1)</f>
      </c>
      <c r="C389" s="7"/>
      <c r="D389" s="7"/>
      <c r="E389" s="7"/>
      <c r="F389" s="7"/>
      <c r="G389" s="26"/>
      <c r="H389" s="7"/>
      <c r="I389" s="42"/>
      <c r="J389" s="41"/>
      <c r="K389" s="26"/>
      <c r="L389" s="26">
        <f>IF(OR(G389="",H389=""),"",G389*H389)</f>
      </c>
      <c r="M389" s="26"/>
      <c r="N389" s="25"/>
      <c r="O389" s="8"/>
    </row>
    <row r="390" ht="14.25">
      <c r="A390" s="23"/>
      <c r="B390" s="7">
        <f>IF(A390="","",INT((A390-Settings!$B$4)/7)+1)</f>
      </c>
      <c r="C390" s="7"/>
      <c r="D390" s="7"/>
      <c r="E390" s="7"/>
      <c r="F390" s="7"/>
      <c r="G390" s="26"/>
      <c r="H390" s="7"/>
      <c r="I390" s="42"/>
      <c r="J390" s="41"/>
      <c r="K390" s="26"/>
      <c r="L390" s="26">
        <f>IF(OR(G390="",H390=""),"",G390*H390)</f>
      </c>
      <c r="M390" s="26"/>
      <c r="N390" s="25"/>
      <c r="O390" s="8"/>
    </row>
    <row r="391" ht="14.25">
      <c r="A391" s="23"/>
      <c r="B391" s="7">
        <f>IF(A391="","",INT((A391-Settings!$B$4)/7)+1)</f>
      </c>
      <c r="C391" s="7"/>
      <c r="D391" s="7"/>
      <c r="E391" s="7"/>
      <c r="F391" s="7"/>
      <c r="G391" s="26"/>
      <c r="H391" s="7"/>
      <c r="I391" s="42"/>
      <c r="J391" s="41"/>
      <c r="K391" s="26"/>
      <c r="L391" s="26">
        <f>IF(OR(G391="",H391=""),"",G391*H391)</f>
      </c>
      <c r="M391" s="26"/>
      <c r="N391" s="25"/>
      <c r="O391" s="8"/>
    </row>
    <row r="392" ht="14.25">
      <c r="A392" s="23"/>
      <c r="B392" s="7">
        <f>IF(A392="","",INT((A392-Settings!$B$4)/7)+1)</f>
      </c>
      <c r="C392" s="7"/>
      <c r="D392" s="7"/>
      <c r="E392" s="7"/>
      <c r="F392" s="7"/>
      <c r="G392" s="26"/>
      <c r="H392" s="7"/>
      <c r="I392" s="42"/>
      <c r="J392" s="41"/>
      <c r="K392" s="26"/>
      <c r="L392" s="26">
        <f>IF(OR(G392="",H392=""),"",G392*H392)</f>
      </c>
      <c r="M392" s="26"/>
      <c r="N392" s="25"/>
      <c r="O392" s="8"/>
    </row>
    <row r="393" ht="14.25">
      <c r="A393" s="23"/>
      <c r="B393" s="7">
        <f>IF(A393="","",INT((A393-Settings!$B$4)/7)+1)</f>
      </c>
      <c r="C393" s="7"/>
      <c r="D393" s="7"/>
      <c r="E393" s="7"/>
      <c r="F393" s="7"/>
      <c r="G393" s="26"/>
      <c r="H393" s="7"/>
      <c r="I393" s="42"/>
      <c r="J393" s="41"/>
      <c r="K393" s="26"/>
      <c r="L393" s="26">
        <f>IF(OR(G393="",H393=""),"",G393*H393)</f>
      </c>
      <c r="M393" s="26"/>
      <c r="N393" s="25"/>
      <c r="O393" s="8"/>
    </row>
    <row r="394" ht="14.25">
      <c r="A394" s="23"/>
      <c r="B394" s="7">
        <f>IF(A394="","",INT((A394-Settings!$B$4)/7)+1)</f>
      </c>
      <c r="C394" s="7"/>
      <c r="D394" s="7"/>
      <c r="E394" s="7"/>
      <c r="F394" s="7"/>
      <c r="G394" s="26"/>
      <c r="H394" s="7"/>
      <c r="I394" s="42"/>
      <c r="J394" s="41"/>
      <c r="K394" s="26"/>
      <c r="L394" s="26">
        <f>IF(OR(G394="",H394=""),"",G394*H394)</f>
      </c>
      <c r="M394" s="26"/>
      <c r="N394" s="25"/>
      <c r="O394" s="8"/>
    </row>
    <row r="395" ht="14.25">
      <c r="A395" s="23"/>
      <c r="B395" s="7">
        <f>IF(A395="","",INT((A395-Settings!$B$4)/7)+1)</f>
      </c>
      <c r="C395" s="7"/>
      <c r="D395" s="7"/>
      <c r="E395" s="7"/>
      <c r="F395" s="7"/>
      <c r="G395" s="26"/>
      <c r="H395" s="7"/>
      <c r="I395" s="42"/>
      <c r="J395" s="41"/>
      <c r="K395" s="26"/>
      <c r="L395" s="26">
        <f>IF(OR(G395="",H395=""),"",G395*H395)</f>
      </c>
      <c r="M395" s="26"/>
      <c r="N395" s="25"/>
      <c r="O395" s="8"/>
    </row>
    <row r="396" ht="14.25">
      <c r="A396" s="23"/>
      <c r="B396" s="7">
        <f>IF(A396="","",INT((A396-Settings!$B$4)/7)+1)</f>
      </c>
      <c r="C396" s="7"/>
      <c r="D396" s="7"/>
      <c r="E396" s="7"/>
      <c r="F396" s="7"/>
      <c r="G396" s="26"/>
      <c r="H396" s="7"/>
      <c r="I396" s="42"/>
      <c r="J396" s="41"/>
      <c r="K396" s="26"/>
      <c r="L396" s="26">
        <f>IF(OR(G396="",H396=""),"",G396*H396)</f>
      </c>
      <c r="M396" s="26"/>
      <c r="N396" s="25"/>
      <c r="O396" s="8"/>
    </row>
    <row r="397" ht="14.25">
      <c r="A397" s="23"/>
      <c r="B397" s="7">
        <f>IF(A397="","",INT((A397-Settings!$B$4)/7)+1)</f>
      </c>
      <c r="C397" s="7"/>
      <c r="D397" s="7"/>
      <c r="E397" s="7"/>
      <c r="F397" s="7"/>
      <c r="G397" s="26"/>
      <c r="H397" s="7"/>
      <c r="I397" s="42"/>
      <c r="J397" s="41"/>
      <c r="K397" s="26"/>
      <c r="L397" s="26">
        <f>IF(OR(G397="",H397=""),"",G397*H397)</f>
      </c>
      <c r="M397" s="26"/>
      <c r="N397" s="25"/>
      <c r="O397" s="8"/>
    </row>
    <row r="398" ht="14.25">
      <c r="A398" s="23"/>
      <c r="B398" s="7">
        <f>IF(A398="","",INT((A398-Settings!$B$4)/7)+1)</f>
      </c>
      <c r="C398" s="7"/>
      <c r="D398" s="7"/>
      <c r="E398" s="7"/>
      <c r="F398" s="7"/>
      <c r="G398" s="26"/>
      <c r="H398" s="7"/>
      <c r="I398" s="42"/>
      <c r="J398" s="41"/>
      <c r="K398" s="26"/>
      <c r="L398" s="26">
        <f>IF(OR(G398="",H398=""),"",G398*H398)</f>
      </c>
      <c r="M398" s="26"/>
      <c r="N398" s="25"/>
      <c r="O398" s="8"/>
    </row>
    <row r="399" ht="14.25">
      <c r="A399" s="23"/>
      <c r="B399" s="7">
        <f>IF(A399="","",INT((A399-Settings!$B$4)/7)+1)</f>
      </c>
      <c r="C399" s="7"/>
      <c r="D399" s="7"/>
      <c r="E399" s="7"/>
      <c r="F399" s="7"/>
      <c r="G399" s="26"/>
      <c r="H399" s="7"/>
      <c r="I399" s="42"/>
      <c r="J399" s="41"/>
      <c r="K399" s="26"/>
      <c r="L399" s="26">
        <f>IF(OR(G399="",H399=""),"",G399*H399)</f>
      </c>
      <c r="M399" s="26"/>
      <c r="N399" s="25"/>
      <c r="O399" s="8"/>
    </row>
    <row r="400" ht="14.25">
      <c r="A400" s="23"/>
      <c r="B400" s="7">
        <f>IF(A400="","",INT((A400-Settings!$B$4)/7)+1)</f>
      </c>
      <c r="C400" s="7"/>
      <c r="D400" s="7"/>
      <c r="E400" s="7"/>
      <c r="F400" s="7"/>
      <c r="G400" s="26"/>
      <c r="H400" s="7"/>
      <c r="I400" s="42"/>
      <c r="J400" s="41"/>
      <c r="K400" s="26"/>
      <c r="L400" s="26">
        <f>IF(OR(G400="",H400=""),"",G400*H400)</f>
      </c>
      <c r="M400" s="26"/>
      <c r="N400" s="25"/>
      <c r="O400" s="8"/>
    </row>
    <row r="401" ht="14.25">
      <c r="A401" s="23"/>
      <c r="B401" s="7">
        <f>IF(A401="","",INT((A401-Settings!$B$4)/7)+1)</f>
      </c>
      <c r="C401" s="7"/>
      <c r="D401" s="7"/>
      <c r="E401" s="7"/>
      <c r="F401" s="7"/>
      <c r="G401" s="26"/>
      <c r="H401" s="7"/>
      <c r="I401" s="42"/>
      <c r="J401" s="41"/>
      <c r="K401" s="26"/>
      <c r="L401" s="26">
        <f>IF(OR(G401="",H401=""),"",G401*H401)</f>
      </c>
      <c r="M401" s="26"/>
      <c r="N401" s="25"/>
      <c r="O401" s="8"/>
    </row>
    <row r="402" ht="14.25">
      <c r="A402" s="23"/>
      <c r="B402" s="7">
        <f>IF(A402="","",INT((A402-Settings!$B$4)/7)+1)</f>
      </c>
      <c r="C402" s="7"/>
      <c r="D402" s="7"/>
      <c r="E402" s="7"/>
      <c r="F402" s="7"/>
      <c r="G402" s="26"/>
      <c r="H402" s="7"/>
      <c r="I402" s="42"/>
      <c r="J402" s="41"/>
      <c r="K402" s="26"/>
      <c r="L402" s="26">
        <f>IF(OR(G402="",H402=""),"",G402*H402)</f>
      </c>
      <c r="M402" s="26"/>
      <c r="N402" s="25"/>
      <c r="O402" s="8"/>
    </row>
    <row r="403" ht="14.25">
      <c r="A403" s="23"/>
      <c r="B403" s="7">
        <f>IF(A403="","",INT((A403-Settings!$B$4)/7)+1)</f>
      </c>
      <c r="C403" s="7"/>
      <c r="D403" s="7"/>
      <c r="E403" s="7"/>
      <c r="F403" s="7"/>
      <c r="G403" s="26"/>
      <c r="H403" s="7"/>
      <c r="I403" s="42"/>
      <c r="J403" s="41"/>
      <c r="K403" s="26"/>
      <c r="L403" s="26">
        <f>IF(OR(G403="",H403=""),"",G403*H403)</f>
      </c>
      <c r="M403" s="26"/>
      <c r="N403" s="25"/>
      <c r="O403" s="8"/>
    </row>
    <row r="404" ht="14.25">
      <c r="A404" s="23"/>
      <c r="B404" s="7">
        <f>IF(A404="","",INT((A404-Settings!$B$4)/7)+1)</f>
      </c>
      <c r="C404" s="7"/>
      <c r="D404" s="7"/>
      <c r="E404" s="7"/>
      <c r="F404" s="7"/>
      <c r="G404" s="26"/>
      <c r="H404" s="7"/>
      <c r="I404" s="42"/>
      <c r="J404" s="41"/>
      <c r="K404" s="26"/>
      <c r="L404" s="26">
        <f>IF(OR(G404="",H404=""),"",G404*H404)</f>
      </c>
      <c r="M404" s="26"/>
      <c r="N404" s="25"/>
      <c r="O404" s="8"/>
    </row>
    <row r="405" ht="14.25">
      <c r="A405" s="23"/>
      <c r="B405" s="7">
        <f>IF(A405="","",INT((A405-Settings!$B$4)/7)+1)</f>
      </c>
      <c r="C405" s="7"/>
      <c r="D405" s="7"/>
      <c r="E405" s="7"/>
      <c r="F405" s="7"/>
      <c r="G405" s="26"/>
      <c r="H405" s="7"/>
      <c r="I405" s="42"/>
      <c r="J405" s="41"/>
      <c r="K405" s="26"/>
      <c r="L405" s="26">
        <f>IF(OR(G405="",H405=""),"",G405*H405)</f>
      </c>
      <c r="M405" s="26"/>
      <c r="N405" s="25"/>
      <c r="O405" s="8"/>
    </row>
    <row r="406" ht="14.25">
      <c r="A406" s="23"/>
      <c r="B406" s="7">
        <f>IF(A406="","",INT((A406-Settings!$B$4)/7)+1)</f>
      </c>
      <c r="C406" s="7"/>
      <c r="D406" s="7"/>
      <c r="E406" s="7"/>
      <c r="F406" s="7"/>
      <c r="G406" s="26"/>
      <c r="H406" s="7"/>
      <c r="I406" s="42"/>
      <c r="J406" s="41"/>
      <c r="K406" s="26"/>
      <c r="L406" s="26">
        <f>IF(OR(G406="",H406=""),"",G406*H406)</f>
      </c>
      <c r="M406" s="26"/>
      <c r="N406" s="25"/>
      <c r="O406" s="8"/>
    </row>
    <row r="407" ht="14.25">
      <c r="A407" s="23"/>
      <c r="B407" s="7">
        <f>IF(A407="","",INT((A407-Settings!$B$4)/7)+1)</f>
      </c>
      <c r="C407" s="7"/>
      <c r="D407" s="7"/>
      <c r="E407" s="7"/>
      <c r="F407" s="7"/>
      <c r="G407" s="26"/>
      <c r="H407" s="7"/>
      <c r="I407" s="42"/>
      <c r="J407" s="41"/>
      <c r="K407" s="26"/>
      <c r="L407" s="26">
        <f>IF(OR(G407="",H407=""),"",G407*H407)</f>
      </c>
      <c r="M407" s="26"/>
      <c r="N407" s="25"/>
      <c r="O407" s="8"/>
    </row>
    <row r="408" ht="14.25">
      <c r="A408" s="23"/>
      <c r="B408" s="7">
        <f>IF(A408="","",INT((A408-Settings!$B$4)/7)+1)</f>
      </c>
      <c r="C408" s="7"/>
      <c r="D408" s="7"/>
      <c r="E408" s="7"/>
      <c r="F408" s="7"/>
      <c r="G408" s="26"/>
      <c r="H408" s="7"/>
      <c r="I408" s="42"/>
      <c r="J408" s="41"/>
      <c r="K408" s="26"/>
      <c r="L408" s="26">
        <f>IF(OR(G408="",H408=""),"",G408*H408)</f>
      </c>
      <c r="M408" s="26"/>
      <c r="N408" s="25"/>
      <c r="O408" s="8"/>
    </row>
    <row r="409" ht="14.25">
      <c r="A409" s="23"/>
      <c r="B409" s="7">
        <f>IF(A409="","",INT((A409-Settings!$B$4)/7)+1)</f>
      </c>
      <c r="C409" s="7"/>
      <c r="D409" s="7"/>
      <c r="E409" s="7"/>
      <c r="F409" s="7"/>
      <c r="G409" s="26"/>
      <c r="H409" s="7"/>
      <c r="I409" s="42"/>
      <c r="J409" s="41"/>
      <c r="K409" s="26"/>
      <c r="L409" s="26">
        <f>IF(OR(G409="",H409=""),"",G409*H409)</f>
      </c>
      <c r="M409" s="26"/>
      <c r="N409" s="25"/>
      <c r="O409" s="8"/>
    </row>
    <row r="410" ht="14.25">
      <c r="A410" s="23"/>
      <c r="B410" s="7">
        <f>IF(A410="","",INT((A410-Settings!$B$4)/7)+1)</f>
      </c>
      <c r="C410" s="7"/>
      <c r="D410" s="7"/>
      <c r="E410" s="7"/>
      <c r="F410" s="7"/>
      <c r="G410" s="26"/>
      <c r="H410" s="7"/>
      <c r="I410" s="42"/>
      <c r="J410" s="41"/>
      <c r="K410" s="26"/>
      <c r="L410" s="26">
        <f>IF(OR(G410="",H410=""),"",G410*H410)</f>
      </c>
      <c r="M410" s="26"/>
      <c r="N410" s="25"/>
      <c r="O410" s="8"/>
    </row>
    <row r="411" ht="14.25">
      <c r="A411" s="23"/>
      <c r="B411" s="7">
        <f>IF(A411="","",INT((A411-Settings!$B$4)/7)+1)</f>
      </c>
      <c r="C411" s="7"/>
      <c r="D411" s="7"/>
      <c r="E411" s="7"/>
      <c r="F411" s="7"/>
      <c r="G411" s="26"/>
      <c r="H411" s="7"/>
      <c r="I411" s="42"/>
      <c r="J411" s="41"/>
      <c r="K411" s="26"/>
      <c r="L411" s="26">
        <f>IF(OR(G411="",H411=""),"",G411*H411)</f>
      </c>
      <c r="M411" s="26"/>
      <c r="N411" s="25"/>
      <c r="O411" s="8"/>
    </row>
    <row r="412" ht="14.25">
      <c r="A412" s="23"/>
      <c r="B412" s="7">
        <f>IF(A412="","",INT((A412-Settings!$B$4)/7)+1)</f>
      </c>
      <c r="C412" s="7"/>
      <c r="D412" s="7"/>
      <c r="E412" s="7"/>
      <c r="F412" s="7"/>
      <c r="G412" s="26"/>
      <c r="H412" s="7"/>
      <c r="I412" s="42"/>
      <c r="J412" s="41"/>
      <c r="K412" s="26"/>
      <c r="L412" s="26">
        <f>IF(OR(G412="",H412=""),"",G412*H412)</f>
      </c>
      <c r="M412" s="26"/>
      <c r="N412" s="25"/>
      <c r="O412" s="8"/>
    </row>
    <row r="413" ht="14.25">
      <c r="A413" s="23"/>
      <c r="B413" s="7">
        <f>IF(A413="","",INT((A413-Settings!$B$4)/7)+1)</f>
      </c>
      <c r="C413" s="7"/>
      <c r="D413" s="7"/>
      <c r="E413" s="7"/>
      <c r="F413" s="7"/>
      <c r="G413" s="26"/>
      <c r="H413" s="7"/>
      <c r="I413" s="42"/>
      <c r="J413" s="41"/>
      <c r="K413" s="26"/>
      <c r="L413" s="26">
        <f>IF(OR(G413="",H413=""),"",G413*H413)</f>
      </c>
      <c r="M413" s="26"/>
      <c r="N413" s="25"/>
      <c r="O413" s="8"/>
    </row>
    <row r="414" ht="14.25">
      <c r="A414" s="23"/>
      <c r="B414" s="7">
        <f>IF(A414="","",INT((A414-Settings!$B$4)/7)+1)</f>
      </c>
      <c r="C414" s="7"/>
      <c r="D414" s="7"/>
      <c r="E414" s="7"/>
      <c r="F414" s="7"/>
      <c r="G414" s="26"/>
      <c r="H414" s="7"/>
      <c r="I414" s="42"/>
      <c r="J414" s="41"/>
      <c r="K414" s="26"/>
      <c r="L414" s="26">
        <f>IF(OR(G414="",H414=""),"",G414*H414)</f>
      </c>
      <c r="M414" s="26"/>
      <c r="N414" s="25"/>
      <c r="O414" s="8"/>
    </row>
    <row r="415" ht="14.25">
      <c r="A415" s="23"/>
      <c r="B415" s="7">
        <f>IF(A415="","",INT((A415-Settings!$B$4)/7)+1)</f>
      </c>
      <c r="C415" s="7"/>
      <c r="D415" s="7"/>
      <c r="E415" s="7"/>
      <c r="F415" s="7"/>
      <c r="G415" s="26"/>
      <c r="H415" s="7"/>
      <c r="I415" s="42"/>
      <c r="J415" s="41"/>
      <c r="K415" s="26"/>
      <c r="L415" s="26">
        <f>IF(OR(G415="",H415=""),"",G415*H415)</f>
      </c>
      <c r="M415" s="26"/>
      <c r="N415" s="25"/>
      <c r="O415" s="8"/>
    </row>
    <row r="416" ht="14.25">
      <c r="A416" s="23"/>
      <c r="B416" s="7">
        <f>IF(A416="","",INT((A416-Settings!$B$4)/7)+1)</f>
      </c>
      <c r="C416" s="7"/>
      <c r="D416" s="7"/>
      <c r="E416" s="7"/>
      <c r="F416" s="7"/>
      <c r="G416" s="26"/>
      <c r="H416" s="7"/>
      <c r="I416" s="42"/>
      <c r="J416" s="41"/>
      <c r="K416" s="26"/>
      <c r="L416" s="26">
        <f>IF(OR(G416="",H416=""),"",G416*H416)</f>
      </c>
      <c r="M416" s="26"/>
      <c r="N416" s="25"/>
      <c r="O416" s="8"/>
    </row>
    <row r="417" ht="14.25">
      <c r="A417" s="23"/>
      <c r="B417" s="7">
        <f>IF(A417="","",INT((A417-Settings!$B$4)/7)+1)</f>
      </c>
      <c r="C417" s="7"/>
      <c r="D417" s="7"/>
      <c r="E417" s="7"/>
      <c r="F417" s="7"/>
      <c r="G417" s="26"/>
      <c r="H417" s="7"/>
      <c r="I417" s="42"/>
      <c r="J417" s="41"/>
      <c r="K417" s="26"/>
      <c r="L417" s="26">
        <f>IF(OR(G417="",H417=""),"",G417*H417)</f>
      </c>
      <c r="M417" s="26"/>
      <c r="N417" s="25"/>
      <c r="O417" s="8"/>
    </row>
    <row r="418" ht="14.25">
      <c r="A418" s="23"/>
      <c r="B418" s="7">
        <f>IF(A418="","",INT((A418-Settings!$B$4)/7)+1)</f>
      </c>
      <c r="C418" s="7"/>
      <c r="D418" s="7"/>
      <c r="E418" s="7"/>
      <c r="F418" s="7"/>
      <c r="G418" s="26"/>
      <c r="H418" s="7"/>
      <c r="I418" s="42"/>
      <c r="J418" s="41"/>
      <c r="K418" s="26"/>
      <c r="L418" s="26">
        <f>IF(OR(G418="",H418=""),"",G418*H418)</f>
      </c>
      <c r="M418" s="26"/>
      <c r="N418" s="25"/>
      <c r="O418" s="8"/>
    </row>
    <row r="419" ht="14.25">
      <c r="A419" s="23"/>
      <c r="B419" s="7">
        <f>IF(A419="","",INT((A419-Settings!$B$4)/7)+1)</f>
      </c>
      <c r="C419" s="7"/>
      <c r="D419" s="7"/>
      <c r="E419" s="7"/>
      <c r="F419" s="7"/>
      <c r="G419" s="26"/>
      <c r="H419" s="7"/>
      <c r="I419" s="42"/>
      <c r="J419" s="41"/>
      <c r="K419" s="26"/>
      <c r="L419" s="26">
        <f>IF(OR(G419="",H419=""),"",G419*H419)</f>
      </c>
      <c r="M419" s="26"/>
      <c r="N419" s="25"/>
      <c r="O419" s="8"/>
    </row>
    <row r="420" ht="14.25">
      <c r="A420" s="23"/>
      <c r="B420" s="7">
        <f>IF(A420="","",INT((A420-Settings!$B$4)/7)+1)</f>
      </c>
      <c r="C420" s="7"/>
      <c r="D420" s="7"/>
      <c r="E420" s="7"/>
      <c r="F420" s="7"/>
      <c r="G420" s="26"/>
      <c r="H420" s="7"/>
      <c r="I420" s="42"/>
      <c r="J420" s="41"/>
      <c r="K420" s="26"/>
      <c r="L420" s="26">
        <f>IF(OR(G420="",H420=""),"",G420*H420)</f>
      </c>
      <c r="M420" s="26"/>
      <c r="N420" s="25"/>
      <c r="O420" s="8"/>
    </row>
    <row r="421" ht="14.25">
      <c r="A421" s="23"/>
      <c r="B421" s="7">
        <f>IF(A421="","",INT((A421-Settings!$B$4)/7)+1)</f>
      </c>
      <c r="C421" s="7"/>
      <c r="D421" s="7"/>
      <c r="E421" s="7"/>
      <c r="F421" s="7"/>
      <c r="G421" s="26"/>
      <c r="H421" s="7"/>
      <c r="I421" s="42"/>
      <c r="J421" s="41"/>
      <c r="K421" s="26"/>
      <c r="L421" s="26">
        <f>IF(OR(G421="",H421=""),"",G421*H421)</f>
      </c>
      <c r="M421" s="26"/>
      <c r="N421" s="25"/>
      <c r="O421" s="8"/>
    </row>
    <row r="422" ht="14.25">
      <c r="A422" s="23"/>
      <c r="B422" s="7">
        <f>IF(A422="","",INT((A422-Settings!$B$4)/7)+1)</f>
      </c>
      <c r="C422" s="7"/>
      <c r="D422" s="7"/>
      <c r="E422" s="7"/>
      <c r="F422" s="7"/>
      <c r="G422" s="26"/>
      <c r="H422" s="7"/>
      <c r="I422" s="42"/>
      <c r="J422" s="41"/>
      <c r="K422" s="26"/>
      <c r="L422" s="26">
        <f>IF(OR(G422="",H422=""),"",G422*H422)</f>
      </c>
      <c r="M422" s="26"/>
      <c r="N422" s="25"/>
      <c r="O422" s="8"/>
    </row>
    <row r="423" ht="14.25">
      <c r="A423" s="23"/>
      <c r="B423" s="7">
        <f>IF(A423="","",INT((A423-Settings!$B$4)/7)+1)</f>
      </c>
      <c r="C423" s="7"/>
      <c r="D423" s="7"/>
      <c r="E423" s="7"/>
      <c r="F423" s="7"/>
      <c r="G423" s="26"/>
      <c r="H423" s="7"/>
      <c r="I423" s="42"/>
      <c r="J423" s="41"/>
      <c r="K423" s="26"/>
      <c r="L423" s="26">
        <f>IF(OR(G423="",H423=""),"",G423*H423)</f>
      </c>
      <c r="M423" s="26"/>
      <c r="N423" s="25"/>
      <c r="O423" s="8"/>
    </row>
    <row r="424" ht="14.25">
      <c r="A424" s="23"/>
      <c r="B424" s="7">
        <f>IF(A424="","",INT((A424-Settings!$B$4)/7)+1)</f>
      </c>
      <c r="C424" s="7"/>
      <c r="D424" s="7"/>
      <c r="E424" s="7"/>
      <c r="F424" s="7"/>
      <c r="G424" s="26"/>
      <c r="H424" s="7"/>
      <c r="I424" s="42"/>
      <c r="J424" s="41"/>
      <c r="K424" s="26"/>
      <c r="L424" s="26">
        <f>IF(OR(G424="",H424=""),"",G424*H424)</f>
      </c>
      <c r="M424" s="26"/>
      <c r="N424" s="25"/>
      <c r="O424" s="8"/>
    </row>
    <row r="425" ht="14.25">
      <c r="A425" s="23"/>
      <c r="B425" s="7">
        <f>IF(A425="","",INT((A425-Settings!$B$4)/7)+1)</f>
      </c>
      <c r="C425" s="7"/>
      <c r="D425" s="7"/>
      <c r="E425" s="7"/>
      <c r="F425" s="7"/>
      <c r="G425" s="26"/>
      <c r="H425" s="7"/>
      <c r="I425" s="42"/>
      <c r="J425" s="41"/>
      <c r="K425" s="26"/>
      <c r="L425" s="26">
        <f>IF(OR(G425="",H425=""),"",G425*H425)</f>
      </c>
      <c r="M425" s="26"/>
      <c r="N425" s="25"/>
      <c r="O425" s="8"/>
    </row>
    <row r="426" ht="14.25">
      <c r="A426" s="23"/>
      <c r="B426" s="7">
        <f>IF(A426="","",INT((A426-Settings!$B$4)/7)+1)</f>
      </c>
      <c r="C426" s="7"/>
      <c r="D426" s="7"/>
      <c r="E426" s="7"/>
      <c r="F426" s="7"/>
      <c r="G426" s="26"/>
      <c r="H426" s="7"/>
      <c r="I426" s="42"/>
      <c r="J426" s="41"/>
      <c r="K426" s="26"/>
      <c r="L426" s="26">
        <f>IF(OR(G426="",H426=""),"",G426*H426)</f>
      </c>
      <c r="M426" s="26"/>
      <c r="N426" s="25"/>
      <c r="O426" s="8"/>
    </row>
    <row r="427" ht="14.25">
      <c r="A427" s="23"/>
      <c r="B427" s="7">
        <f>IF(A427="","",INT((A427-Settings!$B$4)/7)+1)</f>
      </c>
      <c r="C427" s="7"/>
      <c r="D427" s="7"/>
      <c r="E427" s="7"/>
      <c r="F427" s="7"/>
      <c r="G427" s="26"/>
      <c r="H427" s="7"/>
      <c r="I427" s="42"/>
      <c r="J427" s="41"/>
      <c r="K427" s="26"/>
      <c r="L427" s="26">
        <f>IF(OR(G427="",H427=""),"",G427*H427)</f>
      </c>
      <c r="M427" s="26"/>
      <c r="N427" s="25"/>
      <c r="O427" s="8"/>
    </row>
    <row r="428" ht="14.25">
      <c r="A428" s="23"/>
      <c r="B428" s="7">
        <f>IF(A428="","",INT((A428-Settings!$B$4)/7)+1)</f>
      </c>
      <c r="C428" s="7"/>
      <c r="D428" s="7"/>
      <c r="E428" s="7"/>
      <c r="F428" s="7"/>
      <c r="G428" s="26"/>
      <c r="H428" s="7"/>
      <c r="I428" s="42"/>
      <c r="J428" s="41"/>
      <c r="K428" s="26"/>
      <c r="L428" s="26">
        <f>IF(OR(G428="",H428=""),"",G428*H428)</f>
      </c>
      <c r="M428" s="26"/>
      <c r="N428" s="25"/>
      <c r="O428" s="8"/>
    </row>
    <row r="429" ht="14.25">
      <c r="A429" s="23"/>
      <c r="B429" s="7">
        <f>IF(A429="","",INT((A429-Settings!$B$4)/7)+1)</f>
      </c>
      <c r="C429" s="7"/>
      <c r="D429" s="7"/>
      <c r="E429" s="7"/>
      <c r="F429" s="7"/>
      <c r="G429" s="26"/>
      <c r="H429" s="7"/>
      <c r="I429" s="42"/>
      <c r="J429" s="41"/>
      <c r="K429" s="26"/>
      <c r="L429" s="26">
        <f>IF(OR(G429="",H429=""),"",G429*H429)</f>
      </c>
      <c r="M429" s="26"/>
      <c r="N429" s="25"/>
      <c r="O429" s="8"/>
    </row>
    <row r="430" ht="14.25">
      <c r="A430" s="23"/>
      <c r="B430" s="7">
        <f>IF(A430="","",INT((A430-Settings!$B$4)/7)+1)</f>
      </c>
      <c r="C430" s="7"/>
      <c r="D430" s="7"/>
      <c r="E430" s="7"/>
      <c r="F430" s="7"/>
      <c r="G430" s="26"/>
      <c r="H430" s="7"/>
      <c r="I430" s="42"/>
      <c r="J430" s="41"/>
      <c r="K430" s="26"/>
      <c r="L430" s="26">
        <f>IF(OR(G430="",H430=""),"",G430*H430)</f>
      </c>
      <c r="M430" s="26"/>
      <c r="N430" s="25"/>
      <c r="O430" s="8"/>
    </row>
    <row r="431" ht="14.25">
      <c r="A431" s="23"/>
      <c r="B431" s="7">
        <f>IF(A431="","",INT((A431-Settings!$B$4)/7)+1)</f>
      </c>
      <c r="C431" s="7"/>
      <c r="D431" s="7"/>
      <c r="E431" s="7"/>
      <c r="F431" s="7"/>
      <c r="G431" s="26"/>
      <c r="H431" s="7"/>
      <c r="I431" s="42"/>
      <c r="J431" s="41"/>
      <c r="K431" s="26"/>
      <c r="L431" s="26">
        <f>IF(OR(G431="",H431=""),"",G431*H431)</f>
      </c>
      <c r="M431" s="26"/>
      <c r="N431" s="25"/>
      <c r="O431" s="8"/>
    </row>
    <row r="432" ht="14.25">
      <c r="A432" s="23"/>
      <c r="B432" s="7">
        <f>IF(A432="","",INT((A432-Settings!$B$4)/7)+1)</f>
      </c>
      <c r="C432" s="7"/>
      <c r="D432" s="7"/>
      <c r="E432" s="7"/>
      <c r="F432" s="7"/>
      <c r="G432" s="26"/>
      <c r="H432" s="7"/>
      <c r="I432" s="42"/>
      <c r="J432" s="41"/>
      <c r="K432" s="26"/>
      <c r="L432" s="26">
        <f>IF(OR(G432="",H432=""),"",G432*H432)</f>
      </c>
      <c r="M432" s="26"/>
      <c r="N432" s="25"/>
      <c r="O432" s="8"/>
    </row>
    <row r="433" ht="14.25">
      <c r="A433" s="23"/>
      <c r="B433" s="7">
        <f>IF(A433="","",INT((A433-Settings!$B$4)/7)+1)</f>
      </c>
      <c r="C433" s="7"/>
      <c r="D433" s="7"/>
      <c r="E433" s="7"/>
      <c r="F433" s="7"/>
      <c r="G433" s="26"/>
      <c r="H433" s="7"/>
      <c r="I433" s="42"/>
      <c r="J433" s="41"/>
      <c r="K433" s="26"/>
      <c r="L433" s="26">
        <f>IF(OR(G433="",H433=""),"",G433*H433)</f>
      </c>
      <c r="M433" s="26"/>
      <c r="N433" s="25"/>
      <c r="O433" s="8"/>
    </row>
    <row r="434" ht="14.25">
      <c r="A434" s="23"/>
      <c r="B434" s="7">
        <f>IF(A434="","",INT((A434-Settings!$B$4)/7)+1)</f>
      </c>
      <c r="C434" s="7"/>
      <c r="D434" s="7"/>
      <c r="E434" s="7"/>
      <c r="F434" s="7"/>
      <c r="G434" s="26"/>
      <c r="H434" s="7"/>
      <c r="I434" s="42"/>
      <c r="J434" s="41"/>
      <c r="K434" s="26"/>
      <c r="L434" s="26">
        <f>IF(OR(G434="",H434=""),"",G434*H434)</f>
      </c>
      <c r="M434" s="26"/>
      <c r="N434" s="25"/>
      <c r="O434" s="8"/>
    </row>
    <row r="435" ht="14.25">
      <c r="A435" s="23"/>
      <c r="B435" s="7">
        <f>IF(A435="","",INT((A435-Settings!$B$4)/7)+1)</f>
      </c>
      <c r="C435" s="7"/>
      <c r="D435" s="7"/>
      <c r="E435" s="7"/>
      <c r="F435" s="7"/>
      <c r="G435" s="26"/>
      <c r="H435" s="7"/>
      <c r="I435" s="42"/>
      <c r="J435" s="41"/>
      <c r="K435" s="26"/>
      <c r="L435" s="26">
        <f>IF(OR(G435="",H435=""),"",G435*H435)</f>
      </c>
      <c r="M435" s="26"/>
      <c r="N435" s="25"/>
      <c r="O435" s="8"/>
    </row>
    <row r="436" ht="14.25">
      <c r="A436" s="23"/>
      <c r="B436" s="7">
        <f>IF(A436="","",INT((A436-Settings!$B$4)/7)+1)</f>
      </c>
      <c r="C436" s="7"/>
      <c r="D436" s="7"/>
      <c r="E436" s="7"/>
      <c r="F436" s="7"/>
      <c r="G436" s="26"/>
      <c r="H436" s="7"/>
      <c r="I436" s="42"/>
      <c r="J436" s="41"/>
      <c r="K436" s="26"/>
      <c r="L436" s="26">
        <f>IF(OR(G436="",H436=""),"",G436*H436)</f>
      </c>
      <c r="M436" s="26"/>
      <c r="N436" s="25"/>
      <c r="O436" s="8"/>
    </row>
    <row r="437" ht="14.25">
      <c r="A437" s="23"/>
      <c r="B437" s="7">
        <f>IF(A437="","",INT((A437-Settings!$B$4)/7)+1)</f>
      </c>
      <c r="C437" s="7"/>
      <c r="D437" s="7"/>
      <c r="E437" s="7"/>
      <c r="F437" s="7"/>
      <c r="G437" s="26"/>
      <c r="H437" s="7"/>
      <c r="I437" s="42"/>
      <c r="J437" s="41"/>
      <c r="K437" s="26"/>
      <c r="L437" s="26">
        <f>IF(OR(G437="",H437=""),"",G437*H437)</f>
      </c>
      <c r="M437" s="26"/>
      <c r="N437" s="25"/>
      <c r="O437" s="8"/>
    </row>
    <row r="438" ht="14.25">
      <c r="A438" s="23"/>
      <c r="B438" s="7">
        <f>IF(A438="","",INT((A438-Settings!$B$4)/7)+1)</f>
      </c>
      <c r="C438" s="7"/>
      <c r="D438" s="7"/>
      <c r="E438" s="7"/>
      <c r="F438" s="7"/>
      <c r="G438" s="26"/>
      <c r="H438" s="7"/>
      <c r="I438" s="42"/>
      <c r="J438" s="41"/>
      <c r="K438" s="26"/>
      <c r="L438" s="26">
        <f>IF(OR(G438="",H438=""),"",G438*H438)</f>
      </c>
      <c r="M438" s="26"/>
      <c r="N438" s="25"/>
      <c r="O438" s="8"/>
    </row>
    <row r="439" ht="14.25">
      <c r="A439" s="23"/>
      <c r="B439" s="7">
        <f>IF(A439="","",INT((A439-Settings!$B$4)/7)+1)</f>
      </c>
      <c r="C439" s="7"/>
      <c r="D439" s="7"/>
      <c r="E439" s="7"/>
      <c r="F439" s="7"/>
      <c r="G439" s="26"/>
      <c r="H439" s="7"/>
      <c r="I439" s="42"/>
      <c r="J439" s="41"/>
      <c r="K439" s="26"/>
      <c r="L439" s="26">
        <f>IF(OR(G439="",H439=""),"",G439*H439)</f>
      </c>
      <c r="M439" s="26"/>
      <c r="N439" s="25"/>
      <c r="O439" s="8"/>
    </row>
    <row r="440" ht="14.25">
      <c r="A440" s="23"/>
      <c r="B440" s="7">
        <f>IF(A440="","",INT((A440-Settings!$B$4)/7)+1)</f>
      </c>
      <c r="C440" s="7"/>
      <c r="D440" s="7"/>
      <c r="E440" s="7"/>
      <c r="F440" s="7"/>
      <c r="G440" s="26"/>
      <c r="H440" s="7"/>
      <c r="I440" s="42"/>
      <c r="J440" s="41"/>
      <c r="K440" s="26"/>
      <c r="L440" s="26">
        <f>IF(OR(G440="",H440=""),"",G440*H440)</f>
      </c>
      <c r="M440" s="26"/>
      <c r="N440" s="25"/>
      <c r="O440" s="8"/>
    </row>
    <row r="441" ht="14.25">
      <c r="A441" s="23"/>
      <c r="B441" s="7">
        <f>IF(A441="","",INT((A441-Settings!$B$4)/7)+1)</f>
      </c>
      <c r="C441" s="7"/>
      <c r="D441" s="7"/>
      <c r="E441" s="7"/>
      <c r="F441" s="7"/>
      <c r="G441" s="26"/>
      <c r="H441" s="7"/>
      <c r="I441" s="42"/>
      <c r="J441" s="41"/>
      <c r="K441" s="26"/>
      <c r="L441" s="26">
        <f>IF(OR(G441="",H441=""),"",G441*H441)</f>
      </c>
      <c r="M441" s="26"/>
      <c r="N441" s="25"/>
      <c r="O441" s="8"/>
    </row>
    <row r="442" ht="14.25">
      <c r="A442" s="23"/>
      <c r="B442" s="7">
        <f>IF(A442="","",INT((A442-Settings!$B$4)/7)+1)</f>
      </c>
      <c r="C442" s="7"/>
      <c r="D442" s="7"/>
      <c r="E442" s="7"/>
      <c r="F442" s="7"/>
      <c r="G442" s="26"/>
      <c r="H442" s="7"/>
      <c r="I442" s="42"/>
      <c r="J442" s="41"/>
      <c r="K442" s="26"/>
      <c r="L442" s="26">
        <f>IF(OR(G442="",H442=""),"",G442*H442)</f>
      </c>
      <c r="M442" s="26"/>
      <c r="N442" s="25"/>
      <c r="O442" s="8"/>
    </row>
    <row r="443" ht="14.25">
      <c r="A443" s="23"/>
      <c r="B443" s="7">
        <f>IF(A443="","",INT((A443-Settings!$B$4)/7)+1)</f>
      </c>
      <c r="C443" s="7"/>
      <c r="D443" s="7"/>
      <c r="E443" s="7"/>
      <c r="F443" s="7"/>
      <c r="G443" s="26"/>
      <c r="H443" s="7"/>
      <c r="I443" s="42"/>
      <c r="J443" s="41"/>
      <c r="K443" s="26"/>
      <c r="L443" s="26">
        <f>IF(OR(G443="",H443=""),"",G443*H443)</f>
      </c>
      <c r="M443" s="26"/>
      <c r="N443" s="25"/>
      <c r="O443" s="8"/>
    </row>
    <row r="444" ht="14.25">
      <c r="A444" s="23"/>
      <c r="B444" s="7">
        <f>IF(A444="","",INT((A444-Settings!$B$4)/7)+1)</f>
      </c>
      <c r="C444" s="7"/>
      <c r="D444" s="7"/>
      <c r="E444" s="7"/>
      <c r="F444" s="7"/>
      <c r="G444" s="26"/>
      <c r="H444" s="7"/>
      <c r="I444" s="42"/>
      <c r="J444" s="41"/>
      <c r="K444" s="26"/>
      <c r="L444" s="26">
        <f>IF(OR(G444="",H444=""),"",G444*H444)</f>
      </c>
      <c r="M444" s="26"/>
      <c r="N444" s="25"/>
      <c r="O444" s="8"/>
    </row>
    <row r="445" ht="14.25">
      <c r="A445" s="23"/>
      <c r="B445" s="7">
        <f>IF(A445="","",INT((A445-Settings!$B$4)/7)+1)</f>
      </c>
      <c r="C445" s="7"/>
      <c r="D445" s="7"/>
      <c r="E445" s="7"/>
      <c r="F445" s="7"/>
      <c r="G445" s="26"/>
      <c r="H445" s="7"/>
      <c r="I445" s="42"/>
      <c r="J445" s="41"/>
      <c r="K445" s="26"/>
      <c r="L445" s="26">
        <f>IF(OR(G445="",H445=""),"",G445*H445)</f>
      </c>
      <c r="M445" s="26"/>
      <c r="N445" s="25"/>
      <c r="O445" s="8"/>
    </row>
    <row r="446" ht="14.25">
      <c r="A446" s="23"/>
      <c r="B446" s="7">
        <f>IF(A446="","",INT((A446-Settings!$B$4)/7)+1)</f>
      </c>
      <c r="C446" s="7"/>
      <c r="D446" s="7"/>
      <c r="E446" s="7"/>
      <c r="F446" s="7"/>
      <c r="G446" s="26"/>
      <c r="H446" s="7"/>
      <c r="I446" s="42"/>
      <c r="J446" s="41"/>
      <c r="K446" s="26"/>
      <c r="L446" s="26">
        <f>IF(OR(G446="",H446=""),"",G446*H446)</f>
      </c>
      <c r="M446" s="26"/>
      <c r="N446" s="25"/>
      <c r="O446" s="8"/>
    </row>
    <row r="447" ht="14.25">
      <c r="A447" s="23"/>
      <c r="B447" s="7">
        <f>IF(A447="","",INT((A447-Settings!$B$4)/7)+1)</f>
      </c>
      <c r="C447" s="7"/>
      <c r="D447" s="7"/>
      <c r="E447" s="7"/>
      <c r="F447" s="7"/>
      <c r="G447" s="26"/>
      <c r="H447" s="7"/>
      <c r="I447" s="42"/>
      <c r="J447" s="41"/>
      <c r="K447" s="26"/>
      <c r="L447" s="26">
        <f>IF(OR(G447="",H447=""),"",G447*H447)</f>
      </c>
      <c r="M447" s="26"/>
      <c r="N447" s="25"/>
      <c r="O447" s="8"/>
    </row>
    <row r="448" ht="14.25">
      <c r="A448" s="23"/>
      <c r="B448" s="7">
        <f>IF(A448="","",INT((A448-Settings!$B$4)/7)+1)</f>
      </c>
      <c r="C448" s="7"/>
      <c r="D448" s="7"/>
      <c r="E448" s="7"/>
      <c r="F448" s="7"/>
      <c r="G448" s="26"/>
      <c r="H448" s="7"/>
      <c r="I448" s="42"/>
      <c r="J448" s="41"/>
      <c r="K448" s="26"/>
      <c r="L448" s="26">
        <f>IF(OR(G448="",H448=""),"",G448*H448)</f>
      </c>
      <c r="M448" s="26"/>
      <c r="N448" s="25"/>
      <c r="O448" s="8"/>
    </row>
    <row r="449" ht="14.25">
      <c r="A449" s="23"/>
      <c r="B449" s="7">
        <f>IF(A449="","",INT((A449-Settings!$B$4)/7)+1)</f>
      </c>
      <c r="C449" s="7"/>
      <c r="D449" s="7"/>
      <c r="E449" s="7"/>
      <c r="F449" s="7"/>
      <c r="G449" s="26"/>
      <c r="H449" s="7"/>
      <c r="I449" s="42"/>
      <c r="J449" s="41"/>
      <c r="K449" s="26"/>
      <c r="L449" s="26">
        <f>IF(OR(G449="",H449=""),"",G449*H449)</f>
      </c>
      <c r="M449" s="26"/>
      <c r="N449" s="25"/>
      <c r="O449" s="8"/>
    </row>
    <row r="450" ht="14.25">
      <c r="A450" s="23"/>
      <c r="B450" s="7">
        <f>IF(A450="","",INT((A450-Settings!$B$4)/7)+1)</f>
      </c>
      <c r="C450" s="7"/>
      <c r="D450" s="7"/>
      <c r="E450" s="7"/>
      <c r="F450" s="7"/>
      <c r="G450" s="26"/>
      <c r="H450" s="7"/>
      <c r="I450" s="42"/>
      <c r="J450" s="41"/>
      <c r="K450" s="26"/>
      <c r="L450" s="26">
        <f>IF(OR(G450="",H450=""),"",G450*H450)</f>
      </c>
      <c r="M450" s="26"/>
      <c r="N450" s="25"/>
      <c r="O450" s="8"/>
    </row>
    <row r="451" ht="14.25">
      <c r="A451" s="23"/>
      <c r="B451" s="7">
        <f>IF(A451="","",INT((A451-Settings!$B$4)/7)+1)</f>
      </c>
      <c r="C451" s="7"/>
      <c r="D451" s="7"/>
      <c r="E451" s="7"/>
      <c r="F451" s="7"/>
      <c r="G451" s="26"/>
      <c r="H451" s="7"/>
      <c r="I451" s="42"/>
      <c r="J451" s="41"/>
      <c r="K451" s="26"/>
      <c r="L451" s="26">
        <f>IF(OR(G451="",H451=""),"",G451*H451)</f>
      </c>
      <c r="M451" s="26"/>
      <c r="N451" s="25"/>
      <c r="O451" s="8"/>
    </row>
    <row r="452" ht="14.25">
      <c r="A452" s="23"/>
      <c r="B452" s="7">
        <f>IF(A452="","",INT((A452-Settings!$B$4)/7)+1)</f>
      </c>
      <c r="C452" s="7"/>
      <c r="D452" s="7"/>
      <c r="E452" s="7"/>
      <c r="F452" s="7"/>
      <c r="G452" s="26"/>
      <c r="H452" s="7"/>
      <c r="I452" s="42"/>
      <c r="J452" s="41"/>
      <c r="K452" s="26"/>
      <c r="L452" s="26">
        <f>IF(OR(G452="",H452=""),"",G452*H452)</f>
      </c>
      <c r="M452" s="26"/>
      <c r="N452" s="25"/>
      <c r="O452" s="8"/>
    </row>
    <row r="453" ht="14.25">
      <c r="A453" s="23"/>
      <c r="B453" s="7">
        <f>IF(A453="","",INT((A453-Settings!$B$4)/7)+1)</f>
      </c>
      <c r="C453" s="7"/>
      <c r="D453" s="7"/>
      <c r="E453" s="7"/>
      <c r="F453" s="7"/>
      <c r="G453" s="26"/>
      <c r="H453" s="7"/>
      <c r="I453" s="42"/>
      <c r="J453" s="41"/>
      <c r="K453" s="26"/>
      <c r="L453" s="26">
        <f>IF(OR(G453="",H453=""),"",G453*H453)</f>
      </c>
      <c r="M453" s="26"/>
      <c r="N453" s="25"/>
      <c r="O453" s="8"/>
    </row>
    <row r="454" ht="14.25">
      <c r="A454" s="23"/>
      <c r="B454" s="7">
        <f>IF(A454="","",INT((A454-Settings!$B$4)/7)+1)</f>
      </c>
      <c r="C454" s="7"/>
      <c r="D454" s="7"/>
      <c r="E454" s="7"/>
      <c r="F454" s="7"/>
      <c r="G454" s="26"/>
      <c r="H454" s="7"/>
      <c r="I454" s="42"/>
      <c r="J454" s="41"/>
      <c r="K454" s="26"/>
      <c r="L454" s="26">
        <f>IF(OR(G454="",H454=""),"",G454*H454)</f>
      </c>
      <c r="M454" s="26"/>
      <c r="N454" s="25"/>
      <c r="O454" s="8"/>
    </row>
    <row r="455" ht="14.25">
      <c r="A455" s="23"/>
      <c r="B455" s="7">
        <f>IF(A455="","",INT((A455-Settings!$B$4)/7)+1)</f>
      </c>
      <c r="C455" s="7"/>
      <c r="D455" s="7"/>
      <c r="E455" s="7"/>
      <c r="F455" s="7"/>
      <c r="G455" s="26"/>
      <c r="H455" s="7"/>
      <c r="I455" s="42"/>
      <c r="J455" s="41"/>
      <c r="K455" s="26"/>
      <c r="L455" s="26">
        <f>IF(OR(G455="",H455=""),"",G455*H455)</f>
      </c>
      <c r="M455" s="26"/>
      <c r="N455" s="25"/>
      <c r="O455" s="8"/>
    </row>
    <row r="456" ht="14.25">
      <c r="A456" s="23"/>
      <c r="B456" s="7">
        <f>IF(A456="","",INT((A456-Settings!$B$4)/7)+1)</f>
      </c>
      <c r="C456" s="7"/>
      <c r="D456" s="7"/>
      <c r="E456" s="7"/>
      <c r="F456" s="7"/>
      <c r="G456" s="26"/>
      <c r="H456" s="7"/>
      <c r="I456" s="42"/>
      <c r="J456" s="41"/>
      <c r="K456" s="26"/>
      <c r="L456" s="26">
        <f>IF(OR(G456="",H456=""),"",G456*H456)</f>
      </c>
      <c r="M456" s="26"/>
      <c r="N456" s="25"/>
      <c r="O456" s="8"/>
    </row>
    <row r="457" ht="14.25">
      <c r="A457" s="23"/>
      <c r="B457" s="7">
        <f>IF(A457="","",INT((A457-Settings!$B$4)/7)+1)</f>
      </c>
      <c r="C457" s="7"/>
      <c r="D457" s="7"/>
      <c r="E457" s="7"/>
      <c r="F457" s="7"/>
      <c r="G457" s="26"/>
      <c r="H457" s="7"/>
      <c r="I457" s="42"/>
      <c r="J457" s="41"/>
      <c r="K457" s="26"/>
      <c r="L457" s="26">
        <f>IF(OR(G457="",H457=""),"",G457*H457)</f>
      </c>
      <c r="M457" s="26"/>
      <c r="N457" s="25"/>
      <c r="O457" s="8"/>
    </row>
    <row r="458" ht="14.25">
      <c r="A458" s="23"/>
      <c r="B458" s="7">
        <f>IF(A458="","",INT((A458-Settings!$B$4)/7)+1)</f>
      </c>
      <c r="C458" s="7"/>
      <c r="D458" s="7"/>
      <c r="E458" s="7"/>
      <c r="F458" s="7"/>
      <c r="G458" s="26"/>
      <c r="H458" s="7"/>
      <c r="I458" s="42"/>
      <c r="J458" s="41"/>
      <c r="K458" s="26"/>
      <c r="L458" s="26">
        <f>IF(OR(G458="",H458=""),"",G458*H458)</f>
      </c>
      <c r="M458" s="26"/>
      <c r="N458" s="25"/>
      <c r="O458" s="8"/>
    </row>
    <row r="459" ht="14.25">
      <c r="A459" s="23"/>
      <c r="B459" s="7">
        <f>IF(A459="","",INT((A459-Settings!$B$4)/7)+1)</f>
      </c>
      <c r="C459" s="7"/>
      <c r="D459" s="7"/>
      <c r="E459" s="7"/>
      <c r="F459" s="7"/>
      <c r="G459" s="26"/>
      <c r="H459" s="7"/>
      <c r="I459" s="42"/>
      <c r="J459" s="41"/>
      <c r="K459" s="26"/>
      <c r="L459" s="26">
        <f>IF(OR(G459="",H459=""),"",G459*H459)</f>
      </c>
      <c r="M459" s="26"/>
      <c r="N459" s="25"/>
      <c r="O459" s="8"/>
    </row>
    <row r="460" ht="14.25">
      <c r="A460" s="23"/>
      <c r="B460" s="7">
        <f>IF(A460="","",INT((A460-Settings!$B$4)/7)+1)</f>
      </c>
      <c r="C460" s="7"/>
      <c r="D460" s="7"/>
      <c r="E460" s="7"/>
      <c r="F460" s="7"/>
      <c r="G460" s="26"/>
      <c r="H460" s="7"/>
      <c r="I460" s="42"/>
      <c r="J460" s="41"/>
      <c r="K460" s="26"/>
      <c r="L460" s="26">
        <f>IF(OR(G460="",H460=""),"",G460*H460)</f>
      </c>
      <c r="M460" s="26"/>
      <c r="N460" s="25"/>
      <c r="O460" s="8"/>
    </row>
    <row r="461" ht="14.25">
      <c r="A461" s="23"/>
      <c r="B461" s="7">
        <f>IF(A461="","",INT((A461-Settings!$B$4)/7)+1)</f>
      </c>
      <c r="C461" s="7"/>
      <c r="D461" s="7"/>
      <c r="E461" s="7"/>
      <c r="F461" s="7"/>
      <c r="G461" s="26"/>
      <c r="H461" s="7"/>
      <c r="I461" s="42"/>
      <c r="J461" s="41"/>
      <c r="K461" s="26"/>
      <c r="L461" s="26">
        <f>IF(OR(G461="",H461=""),"",G461*H461)</f>
      </c>
      <c r="M461" s="26"/>
      <c r="N461" s="25"/>
      <c r="O461" s="8"/>
    </row>
    <row r="462" ht="14.25">
      <c r="A462" s="23"/>
      <c r="B462" s="7">
        <f>IF(A462="","",INT((A462-Settings!$B$4)/7)+1)</f>
      </c>
      <c r="C462" s="7"/>
      <c r="D462" s="7"/>
      <c r="E462" s="7"/>
      <c r="F462" s="7"/>
      <c r="G462" s="26"/>
      <c r="H462" s="7"/>
      <c r="I462" s="42"/>
      <c r="J462" s="41"/>
      <c r="K462" s="26"/>
      <c r="L462" s="26">
        <f>IF(OR(G462="",H462=""),"",G462*H462)</f>
      </c>
      <c r="M462" s="26"/>
      <c r="N462" s="25"/>
      <c r="O462" s="8"/>
    </row>
    <row r="463" ht="14.25">
      <c r="A463" s="23"/>
      <c r="B463" s="7">
        <f>IF(A463="","",INT((A463-Settings!$B$4)/7)+1)</f>
      </c>
      <c r="C463" s="7"/>
      <c r="D463" s="7"/>
      <c r="E463" s="7"/>
      <c r="F463" s="7"/>
      <c r="G463" s="26"/>
      <c r="H463" s="7"/>
      <c r="I463" s="42"/>
      <c r="J463" s="41"/>
      <c r="K463" s="26"/>
      <c r="L463" s="26">
        <f>IF(OR(G463="",H463=""),"",G463*H463)</f>
      </c>
      <c r="M463" s="26"/>
      <c r="N463" s="25"/>
      <c r="O463" s="8"/>
    </row>
    <row r="464" ht="14.25">
      <c r="A464" s="23"/>
      <c r="B464" s="7">
        <f>IF(A464="","",INT((A464-Settings!$B$4)/7)+1)</f>
      </c>
      <c r="C464" s="7"/>
      <c r="D464" s="7"/>
      <c r="E464" s="7"/>
      <c r="F464" s="7"/>
      <c r="G464" s="26"/>
      <c r="H464" s="7"/>
      <c r="I464" s="42"/>
      <c r="J464" s="41"/>
      <c r="K464" s="26"/>
      <c r="L464" s="26">
        <f>IF(OR(G464="",H464=""),"",G464*H464)</f>
      </c>
      <c r="M464" s="26"/>
      <c r="N464" s="25"/>
      <c r="O464" s="8"/>
    </row>
    <row r="465" ht="14.25">
      <c r="A465" s="23"/>
      <c r="B465" s="7">
        <f>IF(A465="","",INT((A465-Settings!$B$4)/7)+1)</f>
      </c>
      <c r="C465" s="7"/>
      <c r="D465" s="7"/>
      <c r="E465" s="7"/>
      <c r="F465" s="7"/>
      <c r="G465" s="26"/>
      <c r="H465" s="7"/>
      <c r="I465" s="42"/>
      <c r="J465" s="41"/>
      <c r="K465" s="26"/>
      <c r="L465" s="26">
        <f>IF(OR(G465="",H465=""),"",G465*H465)</f>
      </c>
      <c r="M465" s="26"/>
      <c r="N465" s="25"/>
      <c r="O465" s="8"/>
    </row>
    <row r="466" ht="14.25">
      <c r="A466" s="23"/>
      <c r="B466" s="7">
        <f>IF(A466="","",INT((A466-Settings!$B$4)/7)+1)</f>
      </c>
      <c r="C466" s="7"/>
      <c r="D466" s="7"/>
      <c r="E466" s="7"/>
      <c r="F466" s="7"/>
      <c r="G466" s="26"/>
      <c r="H466" s="7"/>
      <c r="I466" s="42"/>
      <c r="J466" s="41"/>
      <c r="K466" s="26"/>
      <c r="L466" s="26">
        <f>IF(OR(G466="",H466=""),"",G466*H466)</f>
      </c>
      <c r="M466" s="26"/>
      <c r="N466" s="25"/>
      <c r="O466" s="8"/>
    </row>
    <row r="467" ht="14.25">
      <c r="A467" s="23"/>
      <c r="B467" s="7">
        <f>IF(A467="","",INT((A467-Settings!$B$4)/7)+1)</f>
      </c>
      <c r="C467" s="7"/>
      <c r="D467" s="7"/>
      <c r="E467" s="7"/>
      <c r="F467" s="7"/>
      <c r="G467" s="26"/>
      <c r="H467" s="7"/>
      <c r="I467" s="42"/>
      <c r="J467" s="41"/>
      <c r="K467" s="26"/>
      <c r="L467" s="26">
        <f>IF(OR(G467="",H467=""),"",G467*H467)</f>
      </c>
      <c r="M467" s="26"/>
      <c r="N467" s="25"/>
      <c r="O467" s="8"/>
    </row>
    <row r="468" ht="14.25">
      <c r="A468" s="23"/>
      <c r="B468" s="7">
        <f>IF(A468="","",INT((A468-Settings!$B$4)/7)+1)</f>
      </c>
      <c r="C468" s="7"/>
      <c r="D468" s="7"/>
      <c r="E468" s="7"/>
      <c r="F468" s="7"/>
      <c r="G468" s="26"/>
      <c r="H468" s="7"/>
      <c r="I468" s="42"/>
      <c r="J468" s="41"/>
      <c r="K468" s="26"/>
      <c r="L468" s="26">
        <f>IF(OR(G468="",H468=""),"",G468*H468)</f>
      </c>
      <c r="M468" s="26"/>
      <c r="N468" s="25"/>
      <c r="O468" s="8"/>
    </row>
    <row r="469" ht="14.25">
      <c r="A469" s="23"/>
      <c r="B469" s="7">
        <f>IF(A469="","",INT((A469-Settings!$B$4)/7)+1)</f>
      </c>
      <c r="C469" s="7"/>
      <c r="D469" s="7"/>
      <c r="E469" s="7"/>
      <c r="F469" s="7"/>
      <c r="G469" s="26"/>
      <c r="H469" s="7"/>
      <c r="I469" s="42"/>
      <c r="J469" s="41"/>
      <c r="K469" s="26"/>
      <c r="L469" s="26">
        <f>IF(OR(G469="",H469=""),"",G469*H469)</f>
      </c>
      <c r="M469" s="26"/>
      <c r="N469" s="25"/>
      <c r="O469" s="8"/>
    </row>
    <row r="470" ht="14.25">
      <c r="A470" s="23"/>
      <c r="B470" s="7">
        <f>IF(A470="","",INT((A470-Settings!$B$4)/7)+1)</f>
      </c>
      <c r="C470" s="7"/>
      <c r="D470" s="7"/>
      <c r="E470" s="7"/>
      <c r="F470" s="7"/>
      <c r="G470" s="26"/>
      <c r="H470" s="7"/>
      <c r="I470" s="42"/>
      <c r="J470" s="41"/>
      <c r="K470" s="26"/>
      <c r="L470" s="26">
        <f>IF(OR(G470="",H470=""),"",G470*H470)</f>
      </c>
      <c r="M470" s="26"/>
      <c r="N470" s="25"/>
      <c r="O470" s="8"/>
    </row>
    <row r="471" ht="14.25">
      <c r="A471" s="23"/>
      <c r="B471" s="7">
        <f>IF(A471="","",INT((A471-Settings!$B$4)/7)+1)</f>
      </c>
      <c r="C471" s="7"/>
      <c r="D471" s="7"/>
      <c r="E471" s="7"/>
      <c r="F471" s="7"/>
      <c r="G471" s="26"/>
      <c r="H471" s="7"/>
      <c r="I471" s="42"/>
      <c r="J471" s="41"/>
      <c r="K471" s="26"/>
      <c r="L471" s="26">
        <f>IF(OR(G471="",H471=""),"",G471*H471)</f>
      </c>
      <c r="M471" s="26"/>
      <c r="N471" s="25"/>
      <c r="O471" s="8"/>
    </row>
    <row r="472" ht="14.25">
      <c r="A472" s="23"/>
      <c r="B472" s="7">
        <f>IF(A472="","",INT((A472-Settings!$B$4)/7)+1)</f>
      </c>
      <c r="C472" s="7"/>
      <c r="D472" s="7"/>
      <c r="E472" s="7"/>
      <c r="F472" s="7"/>
      <c r="G472" s="26"/>
      <c r="H472" s="7"/>
      <c r="I472" s="42"/>
      <c r="J472" s="41"/>
      <c r="K472" s="26"/>
      <c r="L472" s="26">
        <f>IF(OR(G472="",H472=""),"",G472*H472)</f>
      </c>
      <c r="M472" s="26"/>
      <c r="N472" s="25"/>
      <c r="O472" s="8"/>
    </row>
    <row r="473" ht="14.25">
      <c r="A473" s="23"/>
      <c r="B473" s="7">
        <f>IF(A473="","",INT((A473-Settings!$B$4)/7)+1)</f>
      </c>
      <c r="C473" s="7"/>
      <c r="D473" s="7"/>
      <c r="E473" s="7"/>
      <c r="F473" s="7"/>
      <c r="G473" s="26"/>
      <c r="H473" s="7"/>
      <c r="I473" s="42"/>
      <c r="J473" s="41"/>
      <c r="K473" s="26"/>
      <c r="L473" s="26">
        <f>IF(OR(G473="",H473=""),"",G473*H473)</f>
      </c>
      <c r="M473" s="26"/>
      <c r="N473" s="25"/>
      <c r="O473" s="8"/>
    </row>
    <row r="474" ht="14.25">
      <c r="A474" s="23"/>
      <c r="B474" s="7">
        <f>IF(A474="","",INT((A474-Settings!$B$4)/7)+1)</f>
      </c>
      <c r="C474" s="7"/>
      <c r="D474" s="7"/>
      <c r="E474" s="7"/>
      <c r="F474" s="7"/>
      <c r="G474" s="26"/>
      <c r="H474" s="7"/>
      <c r="I474" s="42"/>
      <c r="J474" s="41"/>
      <c r="K474" s="26"/>
      <c r="L474" s="26">
        <f>IF(OR(G474="",H474=""),"",G474*H474)</f>
      </c>
      <c r="M474" s="26"/>
      <c r="N474" s="25"/>
      <c r="O474" s="8"/>
    </row>
    <row r="475" ht="14.25">
      <c r="A475" s="23"/>
      <c r="B475" s="7">
        <f>IF(A475="","",INT((A475-Settings!$B$4)/7)+1)</f>
      </c>
      <c r="C475" s="7"/>
      <c r="D475" s="7"/>
      <c r="E475" s="7"/>
      <c r="F475" s="7"/>
      <c r="G475" s="26"/>
      <c r="H475" s="7"/>
      <c r="I475" s="42"/>
      <c r="J475" s="41"/>
      <c r="K475" s="26"/>
      <c r="L475" s="26">
        <f>IF(OR(G475="",H475=""),"",G475*H475)</f>
      </c>
      <c r="M475" s="26"/>
      <c r="N475" s="25"/>
      <c r="O475" s="8"/>
    </row>
    <row r="476" ht="14.25">
      <c r="A476" s="23"/>
      <c r="B476" s="7">
        <f>IF(A476="","",INT((A476-Settings!$B$4)/7)+1)</f>
      </c>
      <c r="C476" s="7"/>
      <c r="D476" s="7"/>
      <c r="E476" s="7"/>
      <c r="F476" s="7"/>
      <c r="G476" s="26"/>
      <c r="H476" s="7"/>
      <c r="I476" s="42"/>
      <c r="J476" s="41"/>
      <c r="K476" s="26"/>
      <c r="L476" s="26">
        <f>IF(OR(G476="",H476=""),"",G476*H476)</f>
      </c>
      <c r="M476" s="26"/>
      <c r="N476" s="25"/>
      <c r="O476" s="8"/>
    </row>
    <row r="477" ht="14.25">
      <c r="A477" s="23"/>
      <c r="B477" s="7">
        <f>IF(A477="","",INT((A477-Settings!$B$4)/7)+1)</f>
      </c>
      <c r="C477" s="7"/>
      <c r="D477" s="7"/>
      <c r="E477" s="7"/>
      <c r="F477" s="7"/>
      <c r="G477" s="26"/>
      <c r="H477" s="7"/>
      <c r="I477" s="42"/>
      <c r="J477" s="41"/>
      <c r="K477" s="26"/>
      <c r="L477" s="26">
        <f>IF(OR(G477="",H477=""),"",G477*H477)</f>
      </c>
      <c r="M477" s="26"/>
      <c r="N477" s="25"/>
      <c r="O477" s="8"/>
    </row>
    <row r="478" ht="14.25">
      <c r="A478" s="23"/>
      <c r="B478" s="7">
        <f>IF(A478="","",INT((A478-Settings!$B$4)/7)+1)</f>
      </c>
      <c r="C478" s="7"/>
      <c r="D478" s="7"/>
      <c r="E478" s="7"/>
      <c r="F478" s="7"/>
      <c r="G478" s="26"/>
      <c r="H478" s="7"/>
      <c r="I478" s="42"/>
      <c r="J478" s="41"/>
      <c r="K478" s="26"/>
      <c r="L478" s="26">
        <f>IF(OR(G478="",H478=""),"",G478*H478)</f>
      </c>
      <c r="M478" s="26"/>
      <c r="N478" s="25"/>
      <c r="O478" s="8"/>
    </row>
    <row r="479" ht="14.25">
      <c r="A479" s="23"/>
      <c r="B479" s="7">
        <f>IF(A479="","",INT((A479-Settings!$B$4)/7)+1)</f>
      </c>
      <c r="C479" s="7"/>
      <c r="D479" s="7"/>
      <c r="E479" s="7"/>
      <c r="F479" s="7"/>
      <c r="G479" s="26"/>
      <c r="H479" s="7"/>
      <c r="I479" s="42"/>
      <c r="J479" s="41"/>
      <c r="K479" s="26"/>
      <c r="L479" s="26">
        <f>IF(OR(G479="",H479=""),"",G479*H479)</f>
      </c>
      <c r="M479" s="26"/>
      <c r="N479" s="25"/>
      <c r="O479" s="8"/>
    </row>
    <row r="480" ht="14.25">
      <c r="A480" s="23"/>
      <c r="B480" s="7">
        <f>IF(A480="","",INT((A480-Settings!$B$4)/7)+1)</f>
      </c>
      <c r="C480" s="7"/>
      <c r="D480" s="7"/>
      <c r="E480" s="7"/>
      <c r="F480" s="7"/>
      <c r="G480" s="26"/>
      <c r="H480" s="7"/>
      <c r="I480" s="42"/>
      <c r="J480" s="41"/>
      <c r="K480" s="26"/>
      <c r="L480" s="26">
        <f>IF(OR(G480="",H480=""),"",G480*H480)</f>
      </c>
      <c r="M480" s="26"/>
      <c r="N480" s="25"/>
      <c r="O480" s="8"/>
    </row>
    <row r="481" ht="14.25">
      <c r="A481" s="23"/>
      <c r="B481" s="7">
        <f>IF(A481="","",INT((A481-Settings!$B$4)/7)+1)</f>
      </c>
      <c r="C481" s="7"/>
      <c r="D481" s="7"/>
      <c r="E481" s="7"/>
      <c r="F481" s="7"/>
      <c r="G481" s="26"/>
      <c r="H481" s="7"/>
      <c r="I481" s="42"/>
      <c r="J481" s="41"/>
      <c r="K481" s="26"/>
      <c r="L481" s="26">
        <f>IF(OR(G481="",H481=""),"",G481*H481)</f>
      </c>
      <c r="M481" s="26"/>
      <c r="N481" s="25"/>
      <c r="O481" s="8"/>
    </row>
    <row r="482" ht="14.25">
      <c r="A482" s="23"/>
      <c r="B482" s="7">
        <f>IF(A482="","",INT((A482-Settings!$B$4)/7)+1)</f>
      </c>
      <c r="C482" s="7"/>
      <c r="D482" s="7"/>
      <c r="E482" s="7"/>
      <c r="F482" s="7"/>
      <c r="G482" s="26"/>
      <c r="H482" s="7"/>
      <c r="I482" s="42"/>
      <c r="J482" s="41"/>
      <c r="K482" s="26"/>
      <c r="L482" s="26">
        <f>IF(OR(G482="",H482=""),"",G482*H482)</f>
      </c>
      <c r="M482" s="26"/>
      <c r="N482" s="25"/>
      <c r="O482" s="8"/>
    </row>
    <row r="483" ht="14.25">
      <c r="A483" s="23"/>
      <c r="B483" s="7">
        <f>IF(A483="","",INT((A483-Settings!$B$4)/7)+1)</f>
      </c>
      <c r="C483" s="7"/>
      <c r="D483" s="7"/>
      <c r="E483" s="7"/>
      <c r="F483" s="7"/>
      <c r="G483" s="26"/>
      <c r="H483" s="7"/>
      <c r="I483" s="42"/>
      <c r="J483" s="41"/>
      <c r="K483" s="26"/>
      <c r="L483" s="26">
        <f>IF(OR(G483="",H483=""),"",G483*H483)</f>
      </c>
      <c r="M483" s="26"/>
      <c r="N483" s="25"/>
      <c r="O483" s="8"/>
    </row>
    <row r="484" ht="14.25">
      <c r="A484" s="23"/>
      <c r="B484" s="7">
        <f>IF(A484="","",INT((A484-Settings!$B$4)/7)+1)</f>
      </c>
      <c r="C484" s="7"/>
      <c r="D484" s="7"/>
      <c r="E484" s="7"/>
      <c r="F484" s="7"/>
      <c r="G484" s="26"/>
      <c r="H484" s="7"/>
      <c r="I484" s="42"/>
      <c r="J484" s="41"/>
      <c r="K484" s="26"/>
      <c r="L484" s="26">
        <f>IF(OR(G484="",H484=""),"",G484*H484)</f>
      </c>
      <c r="M484" s="26"/>
      <c r="N484" s="25"/>
      <c r="O484" s="8"/>
    </row>
    <row r="485" ht="14.25">
      <c r="A485" s="23"/>
      <c r="B485" s="7">
        <f>IF(A485="","",INT((A485-Settings!$B$4)/7)+1)</f>
      </c>
      <c r="C485" s="7"/>
      <c r="D485" s="7"/>
      <c r="E485" s="7"/>
      <c r="F485" s="7"/>
      <c r="G485" s="26"/>
      <c r="H485" s="7"/>
      <c r="I485" s="42"/>
      <c r="J485" s="41"/>
      <c r="K485" s="26"/>
      <c r="L485" s="26">
        <f>IF(OR(G485="",H485=""),"",G485*H485)</f>
      </c>
      <c r="M485" s="26"/>
      <c r="N485" s="25"/>
      <c r="O485" s="8"/>
    </row>
    <row r="486" ht="14.25">
      <c r="A486" s="23"/>
      <c r="B486" s="7">
        <f>IF(A486="","",INT((A486-Settings!$B$4)/7)+1)</f>
      </c>
      <c r="C486" s="7"/>
      <c r="D486" s="7"/>
      <c r="E486" s="7"/>
      <c r="F486" s="7"/>
      <c r="G486" s="26"/>
      <c r="H486" s="7"/>
      <c r="I486" s="42"/>
      <c r="J486" s="41"/>
      <c r="K486" s="26"/>
      <c r="L486" s="26">
        <f>IF(OR(G486="",H486=""),"",G486*H486)</f>
      </c>
      <c r="M486" s="26"/>
      <c r="N486" s="25"/>
      <c r="O486" s="8"/>
    </row>
    <row r="487" ht="14.25">
      <c r="A487" s="23"/>
      <c r="B487" s="7">
        <f>IF(A487="","",INT((A487-Settings!$B$4)/7)+1)</f>
      </c>
      <c r="C487" s="7"/>
      <c r="D487" s="7"/>
      <c r="E487" s="7"/>
      <c r="F487" s="7"/>
      <c r="G487" s="26"/>
      <c r="H487" s="7"/>
      <c r="I487" s="42"/>
      <c r="J487" s="41"/>
      <c r="K487" s="26"/>
      <c r="L487" s="26">
        <f>IF(OR(G487="",H487=""),"",G487*H487)</f>
      </c>
      <c r="M487" s="26"/>
      <c r="N487" s="25"/>
      <c r="O487" s="8"/>
    </row>
    <row r="488" ht="14.25">
      <c r="A488" s="23"/>
      <c r="B488" s="7">
        <f>IF(A488="","",INT((A488-Settings!$B$4)/7)+1)</f>
      </c>
      <c r="C488" s="7"/>
      <c r="D488" s="7"/>
      <c r="E488" s="7"/>
      <c r="F488" s="7"/>
      <c r="G488" s="26"/>
      <c r="H488" s="7"/>
      <c r="I488" s="42"/>
      <c r="J488" s="41"/>
      <c r="K488" s="26"/>
      <c r="L488" s="26">
        <f>IF(OR(G488="",H488=""),"",G488*H488)</f>
      </c>
      <c r="M488" s="26"/>
      <c r="N488" s="25"/>
      <c r="O488" s="8"/>
    </row>
    <row r="489" ht="14.25">
      <c r="A489" s="23"/>
      <c r="B489" s="7">
        <f>IF(A489="","",INT((A489-Settings!$B$4)/7)+1)</f>
      </c>
      <c r="C489" s="7"/>
      <c r="D489" s="7"/>
      <c r="E489" s="7"/>
      <c r="F489" s="7"/>
      <c r="G489" s="26"/>
      <c r="H489" s="7"/>
      <c r="I489" s="42"/>
      <c r="J489" s="41"/>
      <c r="K489" s="26"/>
      <c r="L489" s="26">
        <f>IF(OR(G489="",H489=""),"",G489*H489)</f>
      </c>
      <c r="M489" s="26"/>
      <c r="N489" s="25"/>
      <c r="O489" s="8"/>
    </row>
    <row r="490" ht="14.25">
      <c r="A490" s="23"/>
      <c r="B490" s="7">
        <f>IF(A490="","",INT((A490-Settings!$B$4)/7)+1)</f>
      </c>
      <c r="C490" s="7"/>
      <c r="D490" s="7"/>
      <c r="E490" s="7"/>
      <c r="F490" s="7"/>
      <c r="G490" s="26"/>
      <c r="H490" s="7"/>
      <c r="I490" s="42"/>
      <c r="J490" s="41"/>
      <c r="K490" s="26"/>
      <c r="L490" s="26">
        <f>IF(OR(G490="",H490=""),"",G490*H490)</f>
      </c>
      <c r="M490" s="26"/>
      <c r="N490" s="25"/>
      <c r="O490" s="8"/>
    </row>
    <row r="491" ht="14.25">
      <c r="A491" s="23"/>
      <c r="B491" s="7">
        <f>IF(A491="","",INT((A491-Settings!$B$4)/7)+1)</f>
      </c>
      <c r="C491" s="7"/>
      <c r="D491" s="7"/>
      <c r="E491" s="7"/>
      <c r="F491" s="7"/>
      <c r="G491" s="26"/>
      <c r="H491" s="7"/>
      <c r="I491" s="42"/>
      <c r="J491" s="41"/>
      <c r="K491" s="26"/>
      <c r="L491" s="26">
        <f>IF(OR(G491="",H491=""),"",G491*H491)</f>
      </c>
      <c r="M491" s="26"/>
      <c r="N491" s="25"/>
      <c r="O491" s="8"/>
    </row>
    <row r="492" ht="14.25">
      <c r="A492" s="23"/>
      <c r="B492" s="7">
        <f>IF(A492="","",INT((A492-Settings!$B$4)/7)+1)</f>
      </c>
      <c r="C492" s="7"/>
      <c r="D492" s="7"/>
      <c r="E492" s="7"/>
      <c r="F492" s="7"/>
      <c r="G492" s="26"/>
      <c r="H492" s="7"/>
      <c r="I492" s="42"/>
      <c r="J492" s="41"/>
      <c r="K492" s="26"/>
      <c r="L492" s="26">
        <f>IF(OR(G492="",H492=""),"",G492*H492)</f>
      </c>
      <c r="M492" s="26"/>
      <c r="N492" s="25"/>
      <c r="O492" s="8"/>
    </row>
    <row r="493" ht="14.25">
      <c r="A493" s="23"/>
      <c r="B493" s="7">
        <f>IF(A493="","",INT((A493-Settings!$B$4)/7)+1)</f>
      </c>
      <c r="C493" s="7"/>
      <c r="D493" s="7"/>
      <c r="E493" s="7"/>
      <c r="F493" s="7"/>
      <c r="G493" s="26"/>
      <c r="H493" s="7"/>
      <c r="I493" s="42"/>
      <c r="J493" s="41"/>
      <c r="K493" s="26"/>
      <c r="L493" s="26">
        <f>IF(OR(G493="",H493=""),"",G493*H493)</f>
      </c>
      <c r="M493" s="26"/>
      <c r="N493" s="25"/>
      <c r="O493" s="8"/>
    </row>
    <row r="494" ht="14.25">
      <c r="A494" s="23"/>
      <c r="B494" s="7">
        <f>IF(A494="","",INT((A494-Settings!$B$4)/7)+1)</f>
      </c>
      <c r="C494" s="7"/>
      <c r="D494" s="7"/>
      <c r="E494" s="7"/>
      <c r="F494" s="7"/>
      <c r="G494" s="26"/>
      <c r="H494" s="7"/>
      <c r="I494" s="42"/>
      <c r="J494" s="41"/>
      <c r="K494" s="26"/>
      <c r="L494" s="26">
        <f>IF(OR(G494="",H494=""),"",G494*H494)</f>
      </c>
      <c r="M494" s="26"/>
      <c r="N494" s="25"/>
      <c r="O494" s="8"/>
    </row>
    <row r="495" ht="14.25">
      <c r="A495" s="23"/>
      <c r="B495" s="7">
        <f>IF(A495="","",INT((A495-Settings!$B$4)/7)+1)</f>
      </c>
      <c r="C495" s="7"/>
      <c r="D495" s="7"/>
      <c r="E495" s="7"/>
      <c r="F495" s="7"/>
      <c r="G495" s="26"/>
      <c r="H495" s="7"/>
      <c r="I495" s="42"/>
      <c r="J495" s="41"/>
      <c r="K495" s="26"/>
      <c r="L495" s="26">
        <f>IF(OR(G495="",H495=""),"",G495*H495)</f>
      </c>
      <c r="M495" s="26"/>
      <c r="N495" s="25"/>
      <c r="O495" s="8"/>
    </row>
    <row r="496" ht="14.25">
      <c r="A496" s="23"/>
      <c r="B496" s="7">
        <f>IF(A496="","",INT((A496-Settings!$B$4)/7)+1)</f>
      </c>
      <c r="C496" s="7"/>
      <c r="D496" s="7"/>
      <c r="E496" s="7"/>
      <c r="F496" s="7"/>
      <c r="G496" s="26"/>
      <c r="H496" s="7"/>
      <c r="I496" s="42"/>
      <c r="J496" s="41"/>
      <c r="K496" s="26"/>
      <c r="L496" s="26">
        <f>IF(OR(G496="",H496=""),"",G496*H496)</f>
      </c>
      <c r="M496" s="26"/>
      <c r="N496" s="25"/>
      <c r="O496" s="8"/>
    </row>
    <row r="497" ht="14.25">
      <c r="A497" s="23"/>
      <c r="B497" s="7">
        <f>IF(A497="","",INT((A497-Settings!$B$4)/7)+1)</f>
      </c>
      <c r="C497" s="7"/>
      <c r="D497" s="7"/>
      <c r="E497" s="7"/>
      <c r="F497" s="7"/>
      <c r="G497" s="26"/>
      <c r="H497" s="7"/>
      <c r="I497" s="42"/>
      <c r="J497" s="41"/>
      <c r="K497" s="26"/>
      <c r="L497" s="26">
        <f>IF(OR(G497="",H497=""),"",G497*H497)</f>
      </c>
      <c r="M497" s="26"/>
      <c r="N497" s="25"/>
      <c r="O497" s="8"/>
    </row>
    <row r="498" ht="14.25">
      <c r="A498" s="23"/>
      <c r="B498" s="7">
        <f>IF(A498="","",INT((A498-Settings!$B$4)/7)+1)</f>
      </c>
      <c r="C498" s="7"/>
      <c r="D498" s="7"/>
      <c r="E498" s="7"/>
      <c r="F498" s="7"/>
      <c r="G498" s="26"/>
      <c r="H498" s="7"/>
      <c r="I498" s="42"/>
      <c r="J498" s="41"/>
      <c r="K498" s="26"/>
      <c r="L498" s="26">
        <f>IF(OR(G498="",H498=""),"",G498*H498)</f>
      </c>
      <c r="M498" s="26"/>
      <c r="N498" s="25"/>
      <c r="O498" s="8"/>
    </row>
    <row r="499" ht="14.25">
      <c r="A499" s="23"/>
      <c r="B499" s="7">
        <f>IF(A499="","",INT((A499-Settings!$B$4)/7)+1)</f>
      </c>
      <c r="C499" s="7"/>
      <c r="D499" s="7"/>
      <c r="E499" s="7"/>
      <c r="F499" s="7"/>
      <c r="G499" s="26"/>
      <c r="H499" s="7"/>
      <c r="I499" s="42"/>
      <c r="J499" s="41"/>
      <c r="K499" s="26"/>
      <c r="L499" s="26">
        <f>IF(OR(G499="",H499=""),"",G499*H499)</f>
      </c>
      <c r="M499" s="26"/>
      <c r="N499" s="25"/>
      <c r="O499" s="8"/>
    </row>
    <row r="500" ht="14.25">
      <c r="A500" s="23"/>
      <c r="B500" s="7">
        <f>IF(A500="","",INT((A500-Settings!$B$4)/7)+1)</f>
      </c>
      <c r="C500" s="7"/>
      <c r="D500" s="7"/>
      <c r="E500" s="7"/>
      <c r="F500" s="7"/>
      <c r="G500" s="26"/>
      <c r="H500" s="7"/>
      <c r="I500" s="42"/>
      <c r="J500" s="41"/>
      <c r="K500" s="26"/>
      <c r="L500" s="26">
        <f>IF(OR(G500="",H500=""),"",G500*H500)</f>
      </c>
      <c r="M500" s="26"/>
      <c r="N500" s="25"/>
      <c r="O500" s="8"/>
    </row>
    <row r="501" ht="14.25">
      <c r="A501" s="23"/>
      <c r="B501" s="7">
        <f>IF(A501="","",INT((A501-Settings!$B$4)/7)+1)</f>
      </c>
      <c r="C501" s="7"/>
      <c r="D501" s="7"/>
      <c r="E501" s="7"/>
      <c r="F501" s="7"/>
      <c r="G501" s="26"/>
      <c r="H501" s="7"/>
      <c r="I501" s="42"/>
      <c r="J501" s="41"/>
      <c r="K501" s="26"/>
      <c r="L501" s="26">
        <f>IF(OR(G501="",H501=""),"",G501*H501)</f>
      </c>
      <c r="M501" s="26"/>
      <c r="N501" s="25"/>
      <c r="O501" s="8"/>
    </row>
    <row r="502" ht="14.25">
      <c r="A502" s="23"/>
      <c r="B502" s="7">
        <f>IF(A502="","",INT((A502-Settings!$B$4)/7)+1)</f>
      </c>
      <c r="C502" s="7"/>
      <c r="D502" s="7"/>
      <c r="E502" s="7"/>
      <c r="F502" s="7"/>
      <c r="G502" s="26"/>
      <c r="H502" s="7"/>
      <c r="I502" s="42"/>
      <c r="J502" s="41"/>
      <c r="K502" s="26"/>
      <c r="L502" s="26">
        <f>IF(OR(G502="",H502=""),"",G502*H502)</f>
      </c>
      <c r="M502" s="26"/>
      <c r="N502" s="25"/>
      <c r="O502" s="8"/>
    </row>
    <row r="503" ht="14.25">
      <c r="A503" s="23"/>
      <c r="B503" s="7">
        <f>IF(A503="","",INT((A503-Settings!$B$4)/7)+1)</f>
      </c>
      <c r="C503" s="7"/>
      <c r="D503" s="7"/>
      <c r="E503" s="7"/>
      <c r="F503" s="7"/>
      <c r="G503" s="26"/>
      <c r="H503" s="7"/>
      <c r="I503" s="42"/>
      <c r="J503" s="41"/>
      <c r="K503" s="26"/>
      <c r="L503" s="26">
        <f>IF(OR(G503="",H503=""),"",G503*H503)</f>
      </c>
      <c r="M503" s="26"/>
      <c r="N503" s="25"/>
      <c r="O503" s="8"/>
    </row>
    <row r="504" ht="14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8"/>
    </row>
  </sheetData>
  <mergeCells count="2">
    <mergeCell ref="A1:O1"/>
    <mergeCell ref="A1:N1"/>
  </mergeCells>
  <pageMargins left="0.69999999999999996" right="0.69999999999999996" top="0.75" bottom="0.75" header="0.29999999999999999" footer="0.29999999999999999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xr:uid="{546DC5EA-B39F-4212-B13D-3F4F7734CA4F}" type="list">
          <x14:formula1>
            <xm:f>"Strength,Conditioning,Benchmark,Recovery,Other"</xm:f>
          </x14:formula1>
          <xm:sqref>C4:C503</xm:sqref>
        </x14:dataValidation>
        <x14:dataValidation xr:uid="{C1BB7EB8-C7A6-4CD5-B898-613466AA29C0}" type="decimal" operator="between">
          <x14:formula1>
            <xm:f>1</xm:f>
          </x14:formula1>
          <x14:formula2>
            <xm:f>10</xm:f>
          </x14:formula2>
          <xm:sqref>K4:K503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cols>
    <col customWidth="1" min="1" max="1" width="12"/>
    <col customWidth="1" min="2" max="2" width="13"/>
    <col customWidth="1" min="3" max="4" width="12"/>
    <col customWidth="1" min="5" max="5" width="13"/>
    <col customWidth="1" min="6" max="6" width="14"/>
    <col customWidth="1" min="7" max="7" width="11"/>
    <col customWidth="1" min="8" max="8" width="12"/>
    <col customWidth="1" min="9" max="9" width="14"/>
    <col customWidth="1" min="10" max="10" width="30"/>
    <col customWidth="1" min="12" max="12" width="18"/>
    <col customWidth="1" min="13" max="13" width="14"/>
  </cols>
  <sheetData>
    <row r="1" ht="28" customHeight="1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</row>
    <row r="3">
      <c r="A3" s="2" t="s">
        <v>75</v>
      </c>
      <c r="B3" s="2" t="s">
        <v>76</v>
      </c>
      <c r="C3" s="2" t="s">
        <v>77</v>
      </c>
      <c r="D3" s="2" t="s">
        <v>78</v>
      </c>
      <c r="E3" s="2" t="s">
        <v>27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6</v>
      </c>
      <c r="L3" s="2" t="s">
        <v>83</v>
      </c>
      <c r="M3" s="2" t="s">
        <v>84</v>
      </c>
    </row>
    <row r="4">
      <c r="A4" s="13"/>
      <c r="B4" s="14"/>
      <c r="C4" s="14"/>
      <c r="D4" s="14"/>
      <c r="F4" s="15"/>
      <c r="G4" s="15"/>
      <c r="H4" s="15"/>
      <c r="I4" s="14"/>
      <c r="J4" s="3"/>
      <c r="L4" s="4" t="s">
        <v>85</v>
      </c>
      <c r="M4" s="16">
        <f>IFERROR(LOOKUP(2,1/(B4:B203&lt;&gt;""),B4:B203),"")</f>
      </c>
    </row>
    <row r="5">
      <c r="A5" s="13"/>
      <c r="B5" s="14"/>
      <c r="C5" s="14"/>
      <c r="D5" s="14"/>
      <c r="F5" s="15"/>
      <c r="G5" s="15"/>
      <c r="H5" s="15"/>
      <c r="I5" s="14"/>
      <c r="J5" s="3"/>
      <c r="L5" s="4" t="s">
        <v>86</v>
      </c>
      <c r="M5" s="16">
        <f>IFERROR(INDEX(B4:B203,MATCH(TRUE,B4:B203&lt;&gt;"",0)),"")</f>
      </c>
    </row>
    <row r="6">
      <c r="A6" s="13"/>
      <c r="B6" s="14"/>
      <c r="C6" s="14"/>
      <c r="D6" s="14"/>
      <c r="F6" s="15"/>
      <c r="G6" s="15"/>
      <c r="H6" s="15"/>
      <c r="I6" s="14"/>
      <c r="J6" s="3"/>
      <c r="L6" s="4" t="s">
        <v>87</v>
      </c>
      <c r="M6" s="16">
        <f>IF(OR(M4="",M5=""),"",M4-M5)</f>
      </c>
    </row>
    <row r="7">
      <c r="A7" s="13"/>
      <c r="B7" s="14"/>
      <c r="C7" s="14"/>
      <c r="D7" s="14"/>
      <c r="F7" s="15"/>
      <c r="G7" s="15"/>
      <c r="H7" s="15"/>
      <c r="I7" s="14"/>
      <c r="J7" s="3"/>
      <c r="L7" s="4" t="s">
        <v>88</v>
      </c>
      <c r="M7" s="17">
        <f>IFERROR(AVERAGE(E4:E203),"")</f>
      </c>
    </row>
    <row r="8">
      <c r="A8" s="13"/>
      <c r="B8" s="14"/>
      <c r="C8" s="14"/>
      <c r="D8" s="14"/>
      <c r="F8" s="15"/>
      <c r="G8" s="15"/>
      <c r="H8" s="15"/>
      <c r="I8" s="14"/>
      <c r="J8" s="3"/>
      <c r="L8" s="4" t="s">
        <v>89</v>
      </c>
      <c r="M8" s="17">
        <f>IFERROR(AVERAGE(H4:H203),"")</f>
      </c>
    </row>
    <row r="9">
      <c r="A9" s="13"/>
      <c r="B9" s="14"/>
      <c r="C9" s="14"/>
      <c r="D9" s="14"/>
      <c r="F9" s="15"/>
      <c r="G9" s="15"/>
      <c r="H9" s="15"/>
      <c r="I9" s="14"/>
      <c r="J9" s="3"/>
    </row>
    <row r="10">
      <c r="A10" s="13"/>
      <c r="B10" s="14"/>
      <c r="C10" s="14"/>
      <c r="D10" s="14"/>
      <c r="F10" s="15"/>
      <c r="G10" s="15"/>
      <c r="H10" s="15"/>
      <c r="I10" s="14"/>
      <c r="J10" s="3"/>
    </row>
    <row r="11">
      <c r="A11" s="13"/>
      <c r="B11" s="14"/>
      <c r="C11" s="14"/>
      <c r="D11" s="14"/>
      <c r="F11" s="15"/>
      <c r="G11" s="15"/>
      <c r="H11" s="15"/>
      <c r="I11" s="14"/>
      <c r="J11" s="3"/>
    </row>
    <row r="12">
      <c r="A12" s="13"/>
      <c r="B12" s="14"/>
      <c r="C12" s="14"/>
      <c r="D12" s="14"/>
      <c r="F12" s="15"/>
      <c r="G12" s="15"/>
      <c r="H12" s="15"/>
      <c r="I12" s="14"/>
      <c r="J12" s="3"/>
    </row>
    <row r="13">
      <c r="A13" s="13"/>
      <c r="B13" s="14"/>
      <c r="C13" s="14"/>
      <c r="D13" s="14"/>
      <c r="F13" s="15"/>
      <c r="G13" s="15"/>
      <c r="H13" s="15"/>
      <c r="I13" s="14"/>
      <c r="J13" s="3"/>
    </row>
    <row r="14">
      <c r="A14" s="13"/>
      <c r="B14" s="14"/>
      <c r="C14" s="14"/>
      <c r="D14" s="14"/>
      <c r="F14" s="15"/>
      <c r="G14" s="15"/>
      <c r="H14" s="15"/>
      <c r="I14" s="14"/>
      <c r="J14" s="3"/>
    </row>
    <row r="15">
      <c r="A15" s="13"/>
      <c r="B15" s="14"/>
      <c r="C15" s="14"/>
      <c r="D15" s="14"/>
      <c r="F15" s="15"/>
      <c r="G15" s="15"/>
      <c r="H15" s="15"/>
      <c r="I15" s="14"/>
      <c r="J15" s="3"/>
    </row>
    <row r="16">
      <c r="A16" s="13"/>
      <c r="B16" s="14"/>
      <c r="C16" s="14"/>
      <c r="D16" s="14"/>
      <c r="F16" s="15"/>
      <c r="G16" s="15"/>
      <c r="H16" s="15"/>
      <c r="I16" s="14"/>
      <c r="J16" s="3"/>
    </row>
    <row r="17">
      <c r="A17" s="13"/>
      <c r="B17" s="14"/>
      <c r="C17" s="14"/>
      <c r="D17" s="14"/>
      <c r="F17" s="15"/>
      <c r="G17" s="15"/>
      <c r="H17" s="15"/>
      <c r="I17" s="14"/>
      <c r="J17" s="3"/>
    </row>
    <row r="18">
      <c r="A18" s="13"/>
      <c r="B18" s="14"/>
      <c r="C18" s="14"/>
      <c r="D18" s="14"/>
      <c r="F18" s="15"/>
      <c r="G18" s="15"/>
      <c r="H18" s="15"/>
      <c r="I18" s="14"/>
      <c r="J18" s="3"/>
    </row>
    <row r="19">
      <c r="A19" s="13"/>
      <c r="B19" s="14"/>
      <c r="C19" s="14"/>
      <c r="D19" s="14"/>
      <c r="F19" s="15"/>
      <c r="G19" s="15"/>
      <c r="H19" s="15"/>
      <c r="I19" s="14"/>
      <c r="J19" s="3"/>
    </row>
    <row r="20">
      <c r="A20" s="13"/>
      <c r="B20" s="14"/>
      <c r="C20" s="14"/>
      <c r="D20" s="14"/>
      <c r="F20" s="15"/>
      <c r="G20" s="15"/>
      <c r="H20" s="15"/>
      <c r="I20" s="14"/>
      <c r="J20" s="3"/>
    </row>
    <row r="21">
      <c r="A21" s="13"/>
      <c r="B21" s="14"/>
      <c r="C21" s="14"/>
      <c r="D21" s="14"/>
      <c r="F21" s="15"/>
      <c r="G21" s="15"/>
      <c r="H21" s="15"/>
      <c r="I21" s="14"/>
      <c r="J21" s="3"/>
    </row>
    <row r="22">
      <c r="A22" s="13"/>
      <c r="B22" s="14"/>
      <c r="C22" s="14"/>
      <c r="D22" s="14"/>
      <c r="F22" s="15"/>
      <c r="G22" s="15"/>
      <c r="H22" s="15"/>
      <c r="I22" s="14"/>
      <c r="J22" s="3"/>
    </row>
    <row r="23">
      <c r="A23" s="13"/>
      <c r="B23" s="14"/>
      <c r="C23" s="14"/>
      <c r="D23" s="14"/>
      <c r="F23" s="15"/>
      <c r="G23" s="15"/>
      <c r="H23" s="15"/>
      <c r="I23" s="14"/>
      <c r="J23" s="3"/>
    </row>
    <row r="24">
      <c r="A24" s="13"/>
      <c r="B24" s="14"/>
      <c r="C24" s="14"/>
      <c r="D24" s="14"/>
      <c r="F24" s="15"/>
      <c r="G24" s="15"/>
      <c r="H24" s="15"/>
      <c r="I24" s="14"/>
      <c r="J24" s="3"/>
    </row>
    <row r="25">
      <c r="A25" s="13"/>
      <c r="B25" s="14"/>
      <c r="C25" s="14"/>
      <c r="D25" s="14"/>
      <c r="F25" s="15"/>
      <c r="G25" s="15"/>
      <c r="H25" s="15"/>
      <c r="I25" s="14"/>
      <c r="J25" s="3"/>
    </row>
    <row r="26">
      <c r="A26" s="13"/>
      <c r="B26" s="14"/>
      <c r="C26" s="14"/>
      <c r="D26" s="14"/>
      <c r="F26" s="15"/>
      <c r="G26" s="15"/>
      <c r="H26" s="15"/>
      <c r="I26" s="14"/>
      <c r="J26" s="3"/>
    </row>
    <row r="27">
      <c r="A27" s="13"/>
      <c r="B27" s="14"/>
      <c r="C27" s="14"/>
      <c r="D27" s="14"/>
      <c r="F27" s="15"/>
      <c r="G27" s="15"/>
      <c r="H27" s="15"/>
      <c r="I27" s="14"/>
      <c r="J27" s="3"/>
    </row>
    <row r="28">
      <c r="A28" s="13"/>
      <c r="B28" s="14"/>
      <c r="C28" s="14"/>
      <c r="D28" s="14"/>
      <c r="F28" s="15"/>
      <c r="G28" s="15"/>
      <c r="H28" s="15"/>
      <c r="I28" s="14"/>
      <c r="J28" s="3"/>
    </row>
    <row r="29">
      <c r="A29" s="13"/>
      <c r="B29" s="14"/>
      <c r="C29" s="14"/>
      <c r="D29" s="14"/>
      <c r="F29" s="15"/>
      <c r="G29" s="15"/>
      <c r="H29" s="15"/>
      <c r="I29" s="14"/>
      <c r="J29" s="3"/>
    </row>
    <row r="30">
      <c r="A30" s="13"/>
      <c r="B30" s="14"/>
      <c r="C30" s="14"/>
      <c r="D30" s="14"/>
      <c r="F30" s="15"/>
      <c r="G30" s="15"/>
      <c r="H30" s="15"/>
      <c r="I30" s="14"/>
      <c r="J30" s="3"/>
    </row>
    <row r="31">
      <c r="A31" s="13"/>
      <c r="B31" s="14"/>
      <c r="C31" s="14"/>
      <c r="D31" s="14"/>
      <c r="F31" s="15"/>
      <c r="G31" s="15"/>
      <c r="H31" s="15"/>
      <c r="I31" s="14"/>
      <c r="J31" s="3"/>
    </row>
    <row r="32">
      <c r="A32" s="13"/>
      <c r="B32" s="14"/>
      <c r="C32" s="14"/>
      <c r="D32" s="14"/>
      <c r="F32" s="15"/>
      <c r="G32" s="15"/>
      <c r="H32" s="15"/>
      <c r="I32" s="14"/>
      <c r="J32" s="3"/>
    </row>
    <row r="33">
      <c r="A33" s="13"/>
      <c r="B33" s="14"/>
      <c r="C33" s="14"/>
      <c r="D33" s="14"/>
      <c r="F33" s="15"/>
      <c r="G33" s="15"/>
      <c r="H33" s="15"/>
      <c r="I33" s="14"/>
      <c r="J33" s="3"/>
    </row>
    <row r="34">
      <c r="A34" s="13"/>
      <c r="B34" s="14"/>
      <c r="C34" s="14"/>
      <c r="D34" s="14"/>
      <c r="F34" s="15"/>
      <c r="G34" s="15"/>
      <c r="H34" s="15"/>
      <c r="I34" s="14"/>
      <c r="J34" s="3"/>
    </row>
    <row r="35">
      <c r="A35" s="13"/>
      <c r="B35" s="14"/>
      <c r="C35" s="14"/>
      <c r="D35" s="14"/>
      <c r="F35" s="15"/>
      <c r="G35" s="15"/>
      <c r="H35" s="15"/>
      <c r="I35" s="14"/>
      <c r="J35" s="3"/>
    </row>
    <row r="36">
      <c r="A36" s="13"/>
      <c r="B36" s="14"/>
      <c r="C36" s="14"/>
      <c r="D36" s="14"/>
      <c r="F36" s="15"/>
      <c r="G36" s="15"/>
      <c r="H36" s="15"/>
      <c r="I36" s="14"/>
      <c r="J36" s="3"/>
    </row>
    <row r="37">
      <c r="A37" s="13"/>
      <c r="B37" s="14"/>
      <c r="C37" s="14"/>
      <c r="D37" s="14"/>
      <c r="F37" s="15"/>
      <c r="G37" s="15"/>
      <c r="H37" s="15"/>
      <c r="I37" s="14"/>
      <c r="J37" s="3"/>
    </row>
    <row r="38">
      <c r="A38" s="13"/>
      <c r="B38" s="14"/>
      <c r="C38" s="14"/>
      <c r="D38" s="14"/>
      <c r="F38" s="15"/>
      <c r="G38" s="15"/>
      <c r="H38" s="15"/>
      <c r="I38" s="14"/>
      <c r="J38" s="3"/>
    </row>
    <row r="39">
      <c r="A39" s="13"/>
      <c r="B39" s="14"/>
      <c r="C39" s="14"/>
      <c r="D39" s="14"/>
      <c r="F39" s="15"/>
      <c r="G39" s="15"/>
      <c r="H39" s="15"/>
      <c r="I39" s="14"/>
      <c r="J39" s="3"/>
    </row>
    <row r="40">
      <c r="A40" s="13"/>
      <c r="B40" s="14"/>
      <c r="C40" s="14"/>
      <c r="D40" s="14"/>
      <c r="F40" s="15"/>
      <c r="G40" s="15"/>
      <c r="H40" s="15"/>
      <c r="I40" s="14"/>
      <c r="J40" s="3"/>
    </row>
    <row r="41">
      <c r="A41" s="13"/>
      <c r="B41" s="14"/>
      <c r="C41" s="14"/>
      <c r="D41" s="14"/>
      <c r="F41" s="15"/>
      <c r="G41" s="15"/>
      <c r="H41" s="15"/>
      <c r="I41" s="14"/>
      <c r="J41" s="3"/>
    </row>
    <row r="42">
      <c r="A42" s="13"/>
      <c r="B42" s="14"/>
      <c r="C42" s="14"/>
      <c r="D42" s="14"/>
      <c r="F42" s="15"/>
      <c r="G42" s="15"/>
      <c r="H42" s="15"/>
      <c r="I42" s="14"/>
      <c r="J42" s="3"/>
    </row>
    <row r="43">
      <c r="A43" s="13"/>
      <c r="B43" s="14"/>
      <c r="C43" s="14"/>
      <c r="D43" s="14"/>
      <c r="F43" s="15"/>
      <c r="G43" s="15"/>
      <c r="H43" s="15"/>
      <c r="I43" s="14"/>
      <c r="J43" s="3"/>
    </row>
    <row r="44">
      <c r="A44" s="13"/>
      <c r="B44" s="14"/>
      <c r="C44" s="14"/>
      <c r="D44" s="14"/>
      <c r="F44" s="15"/>
      <c r="G44" s="15"/>
      <c r="H44" s="15"/>
      <c r="I44" s="14"/>
      <c r="J44" s="3"/>
    </row>
    <row r="45">
      <c r="A45" s="13"/>
      <c r="B45" s="14"/>
      <c r="C45" s="14"/>
      <c r="D45" s="14"/>
      <c r="F45" s="15"/>
      <c r="G45" s="15"/>
      <c r="H45" s="15"/>
      <c r="I45" s="14"/>
      <c r="J45" s="3"/>
    </row>
    <row r="46">
      <c r="A46" s="13"/>
      <c r="B46" s="14"/>
      <c r="C46" s="14"/>
      <c r="D46" s="14"/>
      <c r="F46" s="15"/>
      <c r="G46" s="15"/>
      <c r="H46" s="15"/>
      <c r="I46" s="14"/>
      <c r="J46" s="3"/>
    </row>
    <row r="47">
      <c r="A47" s="13"/>
      <c r="B47" s="14"/>
      <c r="C47" s="14"/>
      <c r="D47" s="14"/>
      <c r="F47" s="15"/>
      <c r="G47" s="15"/>
      <c r="H47" s="15"/>
      <c r="I47" s="14"/>
      <c r="J47" s="3"/>
    </row>
    <row r="48">
      <c r="A48" s="13"/>
      <c r="B48" s="14"/>
      <c r="C48" s="14"/>
      <c r="D48" s="14"/>
      <c r="F48" s="15"/>
      <c r="G48" s="15"/>
      <c r="H48" s="15"/>
      <c r="I48" s="14"/>
      <c r="J48" s="3"/>
    </row>
    <row r="49">
      <c r="A49" s="13"/>
      <c r="B49" s="14"/>
      <c r="C49" s="14"/>
      <c r="D49" s="14"/>
      <c r="F49" s="15"/>
      <c r="G49" s="15"/>
      <c r="H49" s="15"/>
      <c r="I49" s="14"/>
      <c r="J49" s="3"/>
    </row>
    <row r="50">
      <c r="A50" s="13"/>
      <c r="B50" s="14"/>
      <c r="C50" s="14"/>
      <c r="D50" s="14"/>
      <c r="F50" s="15"/>
      <c r="G50" s="15"/>
      <c r="H50" s="15"/>
      <c r="I50" s="14"/>
      <c r="J50" s="3"/>
    </row>
    <row r="51">
      <c r="A51" s="13"/>
      <c r="B51" s="14"/>
      <c r="C51" s="14"/>
      <c r="D51" s="14"/>
      <c r="F51" s="15"/>
      <c r="G51" s="15"/>
      <c r="H51" s="15"/>
      <c r="I51" s="14"/>
      <c r="J51" s="3"/>
    </row>
    <row r="52">
      <c r="A52" s="13"/>
      <c r="B52" s="14"/>
      <c r="C52" s="14"/>
      <c r="D52" s="14"/>
      <c r="F52" s="15"/>
      <c r="G52" s="15"/>
      <c r="H52" s="15"/>
      <c r="I52" s="14"/>
      <c r="J52" s="3"/>
    </row>
    <row r="53">
      <c r="A53" s="13"/>
      <c r="B53" s="14"/>
      <c r="C53" s="14"/>
      <c r="D53" s="14"/>
      <c r="F53" s="15"/>
      <c r="G53" s="15"/>
      <c r="H53" s="15"/>
      <c r="I53" s="14"/>
      <c r="J53" s="3"/>
    </row>
    <row r="54">
      <c r="A54" s="13"/>
      <c r="B54" s="14"/>
      <c r="C54" s="14"/>
      <c r="D54" s="14"/>
      <c r="F54" s="15"/>
      <c r="G54" s="15"/>
      <c r="H54" s="15"/>
      <c r="I54" s="14"/>
      <c r="J54" s="3"/>
    </row>
    <row r="55">
      <c r="A55" s="13"/>
      <c r="B55" s="14"/>
      <c r="C55" s="14"/>
      <c r="D55" s="14"/>
      <c r="F55" s="15"/>
      <c r="G55" s="15"/>
      <c r="H55" s="15"/>
      <c r="I55" s="14"/>
      <c r="J55" s="3"/>
    </row>
    <row r="56">
      <c r="A56" s="13"/>
      <c r="B56" s="14"/>
      <c r="C56" s="14"/>
      <c r="D56" s="14"/>
      <c r="F56" s="15"/>
      <c r="G56" s="15"/>
      <c r="H56" s="15"/>
      <c r="I56" s="14"/>
      <c r="J56" s="3"/>
    </row>
    <row r="57">
      <c r="A57" s="13"/>
      <c r="B57" s="14"/>
      <c r="C57" s="14"/>
      <c r="D57" s="14"/>
      <c r="F57" s="15"/>
      <c r="G57" s="15"/>
      <c r="H57" s="15"/>
      <c r="I57" s="14"/>
      <c r="J57" s="3"/>
    </row>
    <row r="58">
      <c r="A58" s="13"/>
      <c r="B58" s="14"/>
      <c r="C58" s="14"/>
      <c r="D58" s="14"/>
      <c r="F58" s="15"/>
      <c r="G58" s="15"/>
      <c r="H58" s="15"/>
      <c r="I58" s="14"/>
      <c r="J58" s="3"/>
    </row>
    <row r="59">
      <c r="A59" s="13"/>
      <c r="B59" s="14"/>
      <c r="C59" s="14"/>
      <c r="D59" s="14"/>
      <c r="F59" s="15"/>
      <c r="G59" s="15"/>
      <c r="H59" s="15"/>
      <c r="I59" s="14"/>
      <c r="J59" s="3"/>
    </row>
    <row r="60">
      <c r="A60" s="13"/>
      <c r="B60" s="14"/>
      <c r="C60" s="14"/>
      <c r="D60" s="14"/>
      <c r="F60" s="15"/>
      <c r="G60" s="15"/>
      <c r="H60" s="15"/>
      <c r="I60" s="14"/>
      <c r="J60" s="3"/>
    </row>
    <row r="61">
      <c r="A61" s="13"/>
      <c r="B61" s="14"/>
      <c r="C61" s="14"/>
      <c r="D61" s="14"/>
      <c r="F61" s="15"/>
      <c r="G61" s="15"/>
      <c r="H61" s="15"/>
      <c r="I61" s="14"/>
      <c r="J61" s="3"/>
    </row>
    <row r="62">
      <c r="A62" s="13"/>
      <c r="B62" s="14"/>
      <c r="C62" s="14"/>
      <c r="D62" s="14"/>
      <c r="F62" s="15"/>
      <c r="G62" s="15"/>
      <c r="H62" s="15"/>
      <c r="I62" s="14"/>
      <c r="J62" s="3"/>
    </row>
    <row r="63">
      <c r="A63" s="13"/>
      <c r="B63" s="14"/>
      <c r="C63" s="14"/>
      <c r="D63" s="14"/>
      <c r="F63" s="15"/>
      <c r="G63" s="15"/>
      <c r="H63" s="15"/>
      <c r="I63" s="14"/>
      <c r="J63" s="3"/>
    </row>
    <row r="64">
      <c r="A64" s="13"/>
      <c r="B64" s="14"/>
      <c r="C64" s="14"/>
      <c r="D64" s="14"/>
      <c r="F64" s="15"/>
      <c r="G64" s="15"/>
      <c r="H64" s="15"/>
      <c r="I64" s="14"/>
      <c r="J64" s="3"/>
    </row>
    <row r="65">
      <c r="A65" s="13"/>
      <c r="B65" s="14"/>
      <c r="C65" s="14"/>
      <c r="D65" s="14"/>
      <c r="F65" s="15"/>
      <c r="G65" s="15"/>
      <c r="H65" s="15"/>
      <c r="I65" s="14"/>
      <c r="J65" s="3"/>
    </row>
    <row r="66">
      <c r="A66" s="13"/>
      <c r="B66" s="14"/>
      <c r="C66" s="14"/>
      <c r="D66" s="14"/>
      <c r="F66" s="15"/>
      <c r="G66" s="15"/>
      <c r="H66" s="15"/>
      <c r="I66" s="14"/>
      <c r="J66" s="3"/>
    </row>
    <row r="67">
      <c r="A67" s="13"/>
      <c r="B67" s="14"/>
      <c r="C67" s="14"/>
      <c r="D67" s="14"/>
      <c r="F67" s="15"/>
      <c r="G67" s="15"/>
      <c r="H67" s="15"/>
      <c r="I67" s="14"/>
      <c r="J67" s="3"/>
    </row>
    <row r="68">
      <c r="A68" s="13"/>
      <c r="B68" s="14"/>
      <c r="C68" s="14"/>
      <c r="D68" s="14"/>
      <c r="F68" s="15"/>
      <c r="G68" s="15"/>
      <c r="H68" s="15"/>
      <c r="I68" s="14"/>
      <c r="J68" s="3"/>
    </row>
    <row r="69">
      <c r="A69" s="13"/>
      <c r="B69" s="14"/>
      <c r="C69" s="14"/>
      <c r="D69" s="14"/>
      <c r="F69" s="15"/>
      <c r="G69" s="15"/>
      <c r="H69" s="15"/>
      <c r="I69" s="14"/>
      <c r="J69" s="3"/>
    </row>
    <row r="70">
      <c r="A70" s="13"/>
      <c r="B70" s="14"/>
      <c r="C70" s="14"/>
      <c r="D70" s="14"/>
      <c r="F70" s="15"/>
      <c r="G70" s="15"/>
      <c r="H70" s="15"/>
      <c r="I70" s="14"/>
      <c r="J70" s="3"/>
    </row>
    <row r="71">
      <c r="A71" s="13"/>
      <c r="B71" s="14"/>
      <c r="C71" s="14"/>
      <c r="D71" s="14"/>
      <c r="F71" s="15"/>
      <c r="G71" s="15"/>
      <c r="H71" s="15"/>
      <c r="I71" s="14"/>
      <c r="J71" s="3"/>
    </row>
    <row r="72">
      <c r="A72" s="13"/>
      <c r="B72" s="14"/>
      <c r="C72" s="14"/>
      <c r="D72" s="14"/>
      <c r="F72" s="15"/>
      <c r="G72" s="15"/>
      <c r="H72" s="15"/>
      <c r="I72" s="14"/>
      <c r="J72" s="3"/>
    </row>
    <row r="73">
      <c r="A73" s="13"/>
      <c r="B73" s="14"/>
      <c r="C73" s="14"/>
      <c r="D73" s="14"/>
      <c r="F73" s="15"/>
      <c r="G73" s="15"/>
      <c r="H73" s="15"/>
      <c r="I73" s="14"/>
      <c r="J73" s="3"/>
    </row>
    <row r="74">
      <c r="A74" s="13"/>
      <c r="B74" s="14"/>
      <c r="C74" s="14"/>
      <c r="D74" s="14"/>
      <c r="F74" s="15"/>
      <c r="G74" s="15"/>
      <c r="H74" s="15"/>
      <c r="I74" s="14"/>
      <c r="J74" s="3"/>
    </row>
    <row r="75">
      <c r="A75" s="13"/>
      <c r="B75" s="14"/>
      <c r="C75" s="14"/>
      <c r="D75" s="14"/>
      <c r="F75" s="15"/>
      <c r="G75" s="15"/>
      <c r="H75" s="15"/>
      <c r="I75" s="14"/>
      <c r="J75" s="3"/>
    </row>
    <row r="76">
      <c r="A76" s="13"/>
      <c r="B76" s="14"/>
      <c r="C76" s="14"/>
      <c r="D76" s="14"/>
      <c r="F76" s="15"/>
      <c r="G76" s="15"/>
      <c r="H76" s="15"/>
      <c r="I76" s="14"/>
      <c r="J76" s="3"/>
    </row>
    <row r="77">
      <c r="A77" s="13"/>
      <c r="B77" s="14"/>
      <c r="C77" s="14"/>
      <c r="D77" s="14"/>
      <c r="F77" s="15"/>
      <c r="G77" s="15"/>
      <c r="H77" s="15"/>
      <c r="I77" s="14"/>
      <c r="J77" s="3"/>
    </row>
    <row r="78">
      <c r="A78" s="13"/>
      <c r="B78" s="14"/>
      <c r="C78" s="14"/>
      <c r="D78" s="14"/>
      <c r="F78" s="15"/>
      <c r="G78" s="15"/>
      <c r="H78" s="15"/>
      <c r="I78" s="14"/>
      <c r="J78" s="3"/>
    </row>
    <row r="79">
      <c r="A79" s="13"/>
      <c r="B79" s="14"/>
      <c r="C79" s="14"/>
      <c r="D79" s="14"/>
      <c r="F79" s="15"/>
      <c r="G79" s="15"/>
      <c r="H79" s="15"/>
      <c r="I79" s="14"/>
      <c r="J79" s="3"/>
    </row>
    <row r="80">
      <c r="A80" s="13"/>
      <c r="B80" s="14"/>
      <c r="C80" s="14"/>
      <c r="D80" s="14"/>
      <c r="F80" s="15"/>
      <c r="G80" s="15"/>
      <c r="H80" s="15"/>
      <c r="I80" s="14"/>
      <c r="J80" s="3"/>
    </row>
    <row r="81">
      <c r="A81" s="13"/>
      <c r="B81" s="14"/>
      <c r="C81" s="14"/>
      <c r="D81" s="14"/>
      <c r="F81" s="15"/>
      <c r="G81" s="15"/>
      <c r="H81" s="15"/>
      <c r="I81" s="14"/>
      <c r="J81" s="3"/>
    </row>
    <row r="82">
      <c r="A82" s="13"/>
      <c r="B82" s="14"/>
      <c r="C82" s="14"/>
      <c r="D82" s="14"/>
      <c r="F82" s="15"/>
      <c r="G82" s="15"/>
      <c r="H82" s="15"/>
      <c r="I82" s="14"/>
      <c r="J82" s="3"/>
    </row>
    <row r="83">
      <c r="A83" s="13"/>
      <c r="B83" s="14"/>
      <c r="C83" s="14"/>
      <c r="D83" s="14"/>
      <c r="F83" s="15"/>
      <c r="G83" s="15"/>
      <c r="H83" s="15"/>
      <c r="I83" s="14"/>
      <c r="J83" s="3"/>
    </row>
    <row r="84">
      <c r="A84" s="13"/>
      <c r="B84" s="14"/>
      <c r="C84" s="14"/>
      <c r="D84" s="14"/>
      <c r="F84" s="15"/>
      <c r="G84" s="15"/>
      <c r="H84" s="15"/>
      <c r="I84" s="14"/>
      <c r="J84" s="3"/>
    </row>
    <row r="85">
      <c r="A85" s="13"/>
      <c r="B85" s="14"/>
      <c r="C85" s="14"/>
      <c r="D85" s="14"/>
      <c r="F85" s="15"/>
      <c r="G85" s="15"/>
      <c r="H85" s="15"/>
      <c r="I85" s="14"/>
      <c r="J85" s="3"/>
    </row>
    <row r="86">
      <c r="A86" s="13"/>
      <c r="B86" s="14"/>
      <c r="C86" s="14"/>
      <c r="D86" s="14"/>
      <c r="F86" s="15"/>
      <c r="G86" s="15"/>
      <c r="H86" s="15"/>
      <c r="I86" s="14"/>
      <c r="J86" s="3"/>
    </row>
    <row r="87">
      <c r="A87" s="13"/>
      <c r="B87" s="14"/>
      <c r="C87" s="14"/>
      <c r="D87" s="14"/>
      <c r="F87" s="15"/>
      <c r="G87" s="15"/>
      <c r="H87" s="15"/>
      <c r="I87" s="14"/>
      <c r="J87" s="3"/>
    </row>
    <row r="88">
      <c r="A88" s="13"/>
      <c r="B88" s="14"/>
      <c r="C88" s="14"/>
      <c r="D88" s="14"/>
      <c r="F88" s="15"/>
      <c r="G88" s="15"/>
      <c r="H88" s="15"/>
      <c r="I88" s="14"/>
      <c r="J88" s="3"/>
    </row>
    <row r="89">
      <c r="A89" s="13"/>
      <c r="B89" s="14"/>
      <c r="C89" s="14"/>
      <c r="D89" s="14"/>
      <c r="F89" s="15"/>
      <c r="G89" s="15"/>
      <c r="H89" s="15"/>
      <c r="I89" s="14"/>
      <c r="J89" s="3"/>
    </row>
    <row r="90">
      <c r="A90" s="13"/>
      <c r="B90" s="14"/>
      <c r="C90" s="14"/>
      <c r="D90" s="14"/>
      <c r="F90" s="15"/>
      <c r="G90" s="15"/>
      <c r="H90" s="15"/>
      <c r="I90" s="14"/>
      <c r="J90" s="3"/>
    </row>
    <row r="91">
      <c r="A91" s="13"/>
      <c r="B91" s="14"/>
      <c r="C91" s="14"/>
      <c r="D91" s="14"/>
      <c r="F91" s="15"/>
      <c r="G91" s="15"/>
      <c r="H91" s="15"/>
      <c r="I91" s="14"/>
      <c r="J91" s="3"/>
    </row>
    <row r="92">
      <c r="A92" s="13"/>
      <c r="B92" s="14"/>
      <c r="C92" s="14"/>
      <c r="D92" s="14"/>
      <c r="F92" s="15"/>
      <c r="G92" s="15"/>
      <c r="H92" s="15"/>
      <c r="I92" s="14"/>
      <c r="J92" s="3"/>
    </row>
    <row r="93">
      <c r="A93" s="13"/>
      <c r="B93" s="14"/>
      <c r="C93" s="14"/>
      <c r="D93" s="14"/>
      <c r="F93" s="15"/>
      <c r="G93" s="15"/>
      <c r="H93" s="15"/>
      <c r="I93" s="14"/>
      <c r="J93" s="3"/>
    </row>
    <row r="94">
      <c r="A94" s="13"/>
      <c r="B94" s="14"/>
      <c r="C94" s="14"/>
      <c r="D94" s="14"/>
      <c r="F94" s="15"/>
      <c r="G94" s="15"/>
      <c r="H94" s="15"/>
      <c r="I94" s="14"/>
      <c r="J94" s="3"/>
    </row>
    <row r="95">
      <c r="A95" s="13"/>
      <c r="B95" s="14"/>
      <c r="C95" s="14"/>
      <c r="D95" s="14"/>
      <c r="F95" s="15"/>
      <c r="G95" s="15"/>
      <c r="H95" s="15"/>
      <c r="I95" s="14"/>
      <c r="J95" s="3"/>
    </row>
    <row r="96">
      <c r="A96" s="13"/>
      <c r="B96" s="14"/>
      <c r="C96" s="14"/>
      <c r="D96" s="14"/>
      <c r="F96" s="15"/>
      <c r="G96" s="15"/>
      <c r="H96" s="15"/>
      <c r="I96" s="14"/>
      <c r="J96" s="3"/>
    </row>
    <row r="97">
      <c r="A97" s="13"/>
      <c r="B97" s="14"/>
      <c r="C97" s="14"/>
      <c r="D97" s="14"/>
      <c r="F97" s="15"/>
      <c r="G97" s="15"/>
      <c r="H97" s="15"/>
      <c r="I97" s="14"/>
      <c r="J97" s="3"/>
    </row>
    <row r="98">
      <c r="A98" s="13"/>
      <c r="B98" s="14"/>
      <c r="C98" s="14"/>
      <c r="D98" s="14"/>
      <c r="F98" s="15"/>
      <c r="G98" s="15"/>
      <c r="H98" s="15"/>
      <c r="I98" s="14"/>
      <c r="J98" s="3"/>
    </row>
    <row r="99">
      <c r="A99" s="13"/>
      <c r="B99" s="14"/>
      <c r="C99" s="14"/>
      <c r="D99" s="14"/>
      <c r="F99" s="15"/>
      <c r="G99" s="15"/>
      <c r="H99" s="15"/>
      <c r="I99" s="14"/>
      <c r="J99" s="3"/>
    </row>
    <row r="100">
      <c r="A100" s="13"/>
      <c r="B100" s="14"/>
      <c r="C100" s="14"/>
      <c r="D100" s="14"/>
      <c r="F100" s="15"/>
      <c r="G100" s="15"/>
      <c r="H100" s="15"/>
      <c r="I100" s="14"/>
      <c r="J100" s="3"/>
    </row>
    <row r="101">
      <c r="A101" s="13"/>
      <c r="B101" s="14"/>
      <c r="C101" s="14"/>
      <c r="D101" s="14"/>
      <c r="F101" s="15"/>
      <c r="G101" s="15"/>
      <c r="H101" s="15"/>
      <c r="I101" s="14"/>
      <c r="J101" s="3"/>
    </row>
    <row r="102">
      <c r="A102" s="13"/>
      <c r="B102" s="14"/>
      <c r="C102" s="14"/>
      <c r="D102" s="14"/>
      <c r="F102" s="15"/>
      <c r="G102" s="15"/>
      <c r="H102" s="15"/>
      <c r="I102" s="14"/>
      <c r="J102" s="3"/>
    </row>
    <row r="103">
      <c r="A103" s="13"/>
      <c r="B103" s="14"/>
      <c r="C103" s="14"/>
      <c r="D103" s="14"/>
      <c r="F103" s="15"/>
      <c r="G103" s="15"/>
      <c r="H103" s="15"/>
      <c r="I103" s="14"/>
      <c r="J103" s="3"/>
    </row>
    <row r="104">
      <c r="A104" s="13"/>
      <c r="B104" s="14"/>
      <c r="C104" s="14"/>
      <c r="D104" s="14"/>
      <c r="F104" s="15"/>
      <c r="G104" s="15"/>
      <c r="H104" s="15"/>
      <c r="I104" s="14"/>
      <c r="J104" s="3"/>
    </row>
    <row r="105">
      <c r="A105" s="13"/>
      <c r="B105" s="14"/>
      <c r="C105" s="14"/>
      <c r="D105" s="14"/>
      <c r="F105" s="15"/>
      <c r="G105" s="15"/>
      <c r="H105" s="15"/>
      <c r="I105" s="14"/>
      <c r="J105" s="3"/>
    </row>
    <row r="106">
      <c r="A106" s="13"/>
      <c r="B106" s="14"/>
      <c r="C106" s="14"/>
      <c r="D106" s="14"/>
      <c r="F106" s="15"/>
      <c r="G106" s="15"/>
      <c r="H106" s="15"/>
      <c r="I106" s="14"/>
      <c r="J106" s="3"/>
    </row>
    <row r="107">
      <c r="A107" s="13"/>
      <c r="B107" s="14"/>
      <c r="C107" s="14"/>
      <c r="D107" s="14"/>
      <c r="F107" s="15"/>
      <c r="G107" s="15"/>
      <c r="H107" s="15"/>
      <c r="I107" s="14"/>
      <c r="J107" s="3"/>
    </row>
    <row r="108">
      <c r="A108" s="13"/>
      <c r="B108" s="14"/>
      <c r="C108" s="14"/>
      <c r="D108" s="14"/>
      <c r="F108" s="15"/>
      <c r="G108" s="15"/>
      <c r="H108" s="15"/>
      <c r="I108" s="14"/>
      <c r="J108" s="3"/>
    </row>
    <row r="109">
      <c r="A109" s="13"/>
      <c r="B109" s="14"/>
      <c r="C109" s="14"/>
      <c r="D109" s="14"/>
      <c r="F109" s="15"/>
      <c r="G109" s="15"/>
      <c r="H109" s="15"/>
      <c r="I109" s="14"/>
      <c r="J109" s="3"/>
    </row>
    <row r="110">
      <c r="A110" s="13"/>
      <c r="B110" s="14"/>
      <c r="C110" s="14"/>
      <c r="D110" s="14"/>
      <c r="F110" s="15"/>
      <c r="G110" s="15"/>
      <c r="H110" s="15"/>
      <c r="I110" s="14"/>
      <c r="J110" s="3"/>
    </row>
    <row r="111">
      <c r="A111" s="13"/>
      <c r="B111" s="14"/>
      <c r="C111" s="14"/>
      <c r="D111" s="14"/>
      <c r="F111" s="15"/>
      <c r="G111" s="15"/>
      <c r="H111" s="15"/>
      <c r="I111" s="14"/>
      <c r="J111" s="3"/>
    </row>
    <row r="112">
      <c r="A112" s="13"/>
      <c r="B112" s="14"/>
      <c r="C112" s="14"/>
      <c r="D112" s="14"/>
      <c r="F112" s="15"/>
      <c r="G112" s="15"/>
      <c r="H112" s="15"/>
      <c r="I112" s="14"/>
      <c r="J112" s="3"/>
    </row>
    <row r="113">
      <c r="A113" s="13"/>
      <c r="B113" s="14"/>
      <c r="C113" s="14"/>
      <c r="D113" s="14"/>
      <c r="F113" s="15"/>
      <c r="G113" s="15"/>
      <c r="H113" s="15"/>
      <c r="I113" s="14"/>
      <c r="J113" s="3"/>
    </row>
    <row r="114">
      <c r="A114" s="13"/>
      <c r="B114" s="14"/>
      <c r="C114" s="14"/>
      <c r="D114" s="14"/>
      <c r="F114" s="15"/>
      <c r="G114" s="15"/>
      <c r="H114" s="15"/>
      <c r="I114" s="14"/>
      <c r="J114" s="3"/>
    </row>
    <row r="115">
      <c r="A115" s="13"/>
      <c r="B115" s="14"/>
      <c r="C115" s="14"/>
      <c r="D115" s="14"/>
      <c r="F115" s="15"/>
      <c r="G115" s="15"/>
      <c r="H115" s="15"/>
      <c r="I115" s="14"/>
      <c r="J115" s="3"/>
    </row>
    <row r="116">
      <c r="A116" s="13"/>
      <c r="B116" s="14"/>
      <c r="C116" s="14"/>
      <c r="D116" s="14"/>
      <c r="F116" s="15"/>
      <c r="G116" s="15"/>
      <c r="H116" s="15"/>
      <c r="I116" s="14"/>
      <c r="J116" s="3"/>
    </row>
    <row r="117">
      <c r="A117" s="13"/>
      <c r="B117" s="14"/>
      <c r="C117" s="14"/>
      <c r="D117" s="14"/>
      <c r="F117" s="15"/>
      <c r="G117" s="15"/>
      <c r="H117" s="15"/>
      <c r="I117" s="14"/>
      <c r="J117" s="3"/>
    </row>
    <row r="118">
      <c r="A118" s="13"/>
      <c r="B118" s="14"/>
      <c r="C118" s="14"/>
      <c r="D118" s="14"/>
      <c r="F118" s="15"/>
      <c r="G118" s="15"/>
      <c r="H118" s="15"/>
      <c r="I118" s="14"/>
      <c r="J118" s="3"/>
    </row>
    <row r="119">
      <c r="A119" s="13"/>
      <c r="B119" s="14"/>
      <c r="C119" s="14"/>
      <c r="D119" s="14"/>
      <c r="F119" s="15"/>
      <c r="G119" s="15"/>
      <c r="H119" s="15"/>
      <c r="I119" s="14"/>
      <c r="J119" s="3"/>
    </row>
    <row r="120">
      <c r="A120" s="13"/>
      <c r="B120" s="14"/>
      <c r="C120" s="14"/>
      <c r="D120" s="14"/>
      <c r="F120" s="15"/>
      <c r="G120" s="15"/>
      <c r="H120" s="15"/>
      <c r="I120" s="14"/>
      <c r="J120" s="3"/>
    </row>
    <row r="121">
      <c r="A121" s="13"/>
      <c r="B121" s="14"/>
      <c r="C121" s="14"/>
      <c r="D121" s="14"/>
      <c r="F121" s="15"/>
      <c r="G121" s="15"/>
      <c r="H121" s="15"/>
      <c r="I121" s="14"/>
      <c r="J121" s="3"/>
    </row>
    <row r="122">
      <c r="A122" s="13"/>
      <c r="B122" s="14"/>
      <c r="C122" s="14"/>
      <c r="D122" s="14"/>
      <c r="F122" s="15"/>
      <c r="G122" s="15"/>
      <c r="H122" s="15"/>
      <c r="I122" s="14"/>
      <c r="J122" s="3"/>
    </row>
    <row r="123">
      <c r="A123" s="13"/>
      <c r="B123" s="14"/>
      <c r="C123" s="14"/>
      <c r="D123" s="14"/>
      <c r="F123" s="15"/>
      <c r="G123" s="15"/>
      <c r="H123" s="15"/>
      <c r="I123" s="14"/>
      <c r="J123" s="3"/>
    </row>
    <row r="124">
      <c r="A124" s="13"/>
      <c r="B124" s="14"/>
      <c r="C124" s="14"/>
      <c r="D124" s="14"/>
      <c r="F124" s="15"/>
      <c r="G124" s="15"/>
      <c r="H124" s="15"/>
      <c r="I124" s="14"/>
      <c r="J124" s="3"/>
    </row>
    <row r="125">
      <c r="A125" s="13"/>
      <c r="B125" s="14"/>
      <c r="C125" s="14"/>
      <c r="D125" s="14"/>
      <c r="F125" s="15"/>
      <c r="G125" s="15"/>
      <c r="H125" s="15"/>
      <c r="I125" s="14"/>
      <c r="J125" s="3"/>
    </row>
    <row r="126">
      <c r="A126" s="13"/>
      <c r="B126" s="14"/>
      <c r="C126" s="14"/>
      <c r="D126" s="14"/>
      <c r="F126" s="15"/>
      <c r="G126" s="15"/>
      <c r="H126" s="15"/>
      <c r="I126" s="14"/>
      <c r="J126" s="3"/>
    </row>
    <row r="127">
      <c r="A127" s="13"/>
      <c r="B127" s="14"/>
      <c r="C127" s="14"/>
      <c r="D127" s="14"/>
      <c r="F127" s="15"/>
      <c r="G127" s="15"/>
      <c r="H127" s="15"/>
      <c r="I127" s="14"/>
      <c r="J127" s="3"/>
    </row>
    <row r="128">
      <c r="A128" s="13"/>
      <c r="B128" s="14"/>
      <c r="C128" s="14"/>
      <c r="D128" s="14"/>
      <c r="F128" s="15"/>
      <c r="G128" s="15"/>
      <c r="H128" s="15"/>
      <c r="I128" s="14"/>
      <c r="J128" s="3"/>
    </row>
    <row r="129">
      <c r="A129" s="13"/>
      <c r="B129" s="14"/>
      <c r="C129" s="14"/>
      <c r="D129" s="14"/>
      <c r="F129" s="15"/>
      <c r="G129" s="15"/>
      <c r="H129" s="15"/>
      <c r="I129" s="14"/>
      <c r="J129" s="3"/>
    </row>
    <row r="130">
      <c r="A130" s="13"/>
      <c r="B130" s="14"/>
      <c r="C130" s="14"/>
      <c r="D130" s="14"/>
      <c r="F130" s="15"/>
      <c r="G130" s="15"/>
      <c r="H130" s="15"/>
      <c r="I130" s="14"/>
      <c r="J130" s="3"/>
    </row>
    <row r="131">
      <c r="A131" s="13"/>
      <c r="B131" s="14"/>
      <c r="C131" s="14"/>
      <c r="D131" s="14"/>
      <c r="F131" s="15"/>
      <c r="G131" s="15"/>
      <c r="H131" s="15"/>
      <c r="I131" s="14"/>
      <c r="J131" s="3"/>
    </row>
    <row r="132">
      <c r="A132" s="13"/>
      <c r="B132" s="14"/>
      <c r="C132" s="14"/>
      <c r="D132" s="14"/>
      <c r="F132" s="15"/>
      <c r="G132" s="15"/>
      <c r="H132" s="15"/>
      <c r="I132" s="14"/>
      <c r="J132" s="3"/>
    </row>
    <row r="133">
      <c r="A133" s="13"/>
      <c r="B133" s="14"/>
      <c r="C133" s="14"/>
      <c r="D133" s="14"/>
      <c r="F133" s="15"/>
      <c r="G133" s="15"/>
      <c r="H133" s="15"/>
      <c r="I133" s="14"/>
      <c r="J133" s="3"/>
    </row>
    <row r="134">
      <c r="A134" s="13"/>
      <c r="B134" s="14"/>
      <c r="C134" s="14"/>
      <c r="D134" s="14"/>
      <c r="F134" s="15"/>
      <c r="G134" s="15"/>
      <c r="H134" s="15"/>
      <c r="I134" s="14"/>
      <c r="J134" s="3"/>
    </row>
    <row r="135">
      <c r="A135" s="13"/>
      <c r="B135" s="14"/>
      <c r="C135" s="14"/>
      <c r="D135" s="14"/>
      <c r="F135" s="15"/>
      <c r="G135" s="15"/>
      <c r="H135" s="15"/>
      <c r="I135" s="14"/>
      <c r="J135" s="3"/>
    </row>
    <row r="136">
      <c r="A136" s="13"/>
      <c r="B136" s="14"/>
      <c r="C136" s="14"/>
      <c r="D136" s="14"/>
      <c r="F136" s="15"/>
      <c r="G136" s="15"/>
      <c r="H136" s="15"/>
      <c r="I136" s="14"/>
      <c r="J136" s="3"/>
    </row>
    <row r="137">
      <c r="A137" s="13"/>
      <c r="B137" s="14"/>
      <c r="C137" s="14"/>
      <c r="D137" s="14"/>
      <c r="F137" s="15"/>
      <c r="G137" s="15"/>
      <c r="H137" s="15"/>
      <c r="I137" s="14"/>
      <c r="J137" s="3"/>
    </row>
    <row r="138">
      <c r="A138" s="13"/>
      <c r="B138" s="14"/>
      <c r="C138" s="14"/>
      <c r="D138" s="14"/>
      <c r="F138" s="15"/>
      <c r="G138" s="15"/>
      <c r="H138" s="15"/>
      <c r="I138" s="14"/>
      <c r="J138" s="3"/>
    </row>
    <row r="139">
      <c r="A139" s="13"/>
      <c r="B139" s="14"/>
      <c r="C139" s="14"/>
      <c r="D139" s="14"/>
      <c r="F139" s="15"/>
      <c r="G139" s="15"/>
      <c r="H139" s="15"/>
      <c r="I139" s="14"/>
      <c r="J139" s="3"/>
    </row>
    <row r="140">
      <c r="A140" s="13"/>
      <c r="B140" s="14"/>
      <c r="C140" s="14"/>
      <c r="D140" s="14"/>
      <c r="F140" s="15"/>
      <c r="G140" s="15"/>
      <c r="H140" s="15"/>
      <c r="I140" s="14"/>
      <c r="J140" s="3"/>
    </row>
    <row r="141">
      <c r="A141" s="13"/>
      <c r="B141" s="14"/>
      <c r="C141" s="14"/>
      <c r="D141" s="14"/>
      <c r="F141" s="15"/>
      <c r="G141" s="15"/>
      <c r="H141" s="15"/>
      <c r="I141" s="14"/>
      <c r="J141" s="3"/>
    </row>
    <row r="142">
      <c r="A142" s="13"/>
      <c r="B142" s="14"/>
      <c r="C142" s="14"/>
      <c r="D142" s="14"/>
      <c r="F142" s="15"/>
      <c r="G142" s="15"/>
      <c r="H142" s="15"/>
      <c r="I142" s="14"/>
      <c r="J142" s="3"/>
    </row>
    <row r="143">
      <c r="A143" s="13"/>
      <c r="B143" s="14"/>
      <c r="C143" s="14"/>
      <c r="D143" s="14"/>
      <c r="F143" s="15"/>
      <c r="G143" s="15"/>
      <c r="H143" s="15"/>
      <c r="I143" s="14"/>
      <c r="J143" s="3"/>
    </row>
    <row r="144">
      <c r="A144" s="13"/>
      <c r="B144" s="14"/>
      <c r="C144" s="14"/>
      <c r="D144" s="14"/>
      <c r="F144" s="15"/>
      <c r="G144" s="15"/>
      <c r="H144" s="15"/>
      <c r="I144" s="14"/>
      <c r="J144" s="3"/>
    </row>
    <row r="145">
      <c r="A145" s="13"/>
      <c r="B145" s="14"/>
      <c r="C145" s="14"/>
      <c r="D145" s="14"/>
      <c r="F145" s="15"/>
      <c r="G145" s="15"/>
      <c r="H145" s="15"/>
      <c r="I145" s="14"/>
      <c r="J145" s="3"/>
    </row>
    <row r="146">
      <c r="A146" s="13"/>
      <c r="B146" s="14"/>
      <c r="C146" s="14"/>
      <c r="D146" s="14"/>
      <c r="F146" s="15"/>
      <c r="G146" s="15"/>
      <c r="H146" s="15"/>
      <c r="I146" s="14"/>
      <c r="J146" s="3"/>
    </row>
    <row r="147">
      <c r="A147" s="13"/>
      <c r="B147" s="14"/>
      <c r="C147" s="14"/>
      <c r="D147" s="14"/>
      <c r="F147" s="15"/>
      <c r="G147" s="15"/>
      <c r="H147" s="15"/>
      <c r="I147" s="14"/>
      <c r="J147" s="3"/>
    </row>
    <row r="148">
      <c r="A148" s="13"/>
      <c r="B148" s="14"/>
      <c r="C148" s="14"/>
      <c r="D148" s="14"/>
      <c r="F148" s="15"/>
      <c r="G148" s="15"/>
      <c r="H148" s="15"/>
      <c r="I148" s="14"/>
      <c r="J148" s="3"/>
    </row>
    <row r="149">
      <c r="A149" s="13"/>
      <c r="B149" s="14"/>
      <c r="C149" s="14"/>
      <c r="D149" s="14"/>
      <c r="F149" s="15"/>
      <c r="G149" s="15"/>
      <c r="H149" s="15"/>
      <c r="I149" s="14"/>
      <c r="J149" s="3"/>
    </row>
    <row r="150">
      <c r="A150" s="13"/>
      <c r="B150" s="14"/>
      <c r="C150" s="14"/>
      <c r="D150" s="14"/>
      <c r="F150" s="15"/>
      <c r="G150" s="15"/>
      <c r="H150" s="15"/>
      <c r="I150" s="14"/>
      <c r="J150" s="3"/>
    </row>
    <row r="151">
      <c r="A151" s="13"/>
      <c r="B151" s="14"/>
      <c r="C151" s="14"/>
      <c r="D151" s="14"/>
      <c r="F151" s="15"/>
      <c r="G151" s="15"/>
      <c r="H151" s="15"/>
      <c r="I151" s="14"/>
      <c r="J151" s="3"/>
    </row>
    <row r="152">
      <c r="A152" s="13"/>
      <c r="B152" s="14"/>
      <c r="C152" s="14"/>
      <c r="D152" s="14"/>
      <c r="F152" s="15"/>
      <c r="G152" s="15"/>
      <c r="H152" s="15"/>
      <c r="I152" s="14"/>
      <c r="J152" s="3"/>
    </row>
    <row r="153">
      <c r="A153" s="13"/>
      <c r="B153" s="14"/>
      <c r="C153" s="14"/>
      <c r="D153" s="14"/>
      <c r="F153" s="15"/>
      <c r="G153" s="15"/>
      <c r="H153" s="15"/>
      <c r="I153" s="14"/>
      <c r="J153" s="3"/>
    </row>
    <row r="154">
      <c r="A154" s="13"/>
      <c r="B154" s="14"/>
      <c r="C154" s="14"/>
      <c r="D154" s="14"/>
      <c r="F154" s="15"/>
      <c r="G154" s="15"/>
      <c r="H154" s="15"/>
      <c r="I154" s="14"/>
      <c r="J154" s="3"/>
    </row>
    <row r="155">
      <c r="A155" s="13"/>
      <c r="B155" s="14"/>
      <c r="C155" s="14"/>
      <c r="D155" s="14"/>
      <c r="F155" s="15"/>
      <c r="G155" s="15"/>
      <c r="H155" s="15"/>
      <c r="I155" s="14"/>
      <c r="J155" s="3"/>
    </row>
    <row r="156">
      <c r="A156" s="13"/>
      <c r="B156" s="14"/>
      <c r="C156" s="14"/>
      <c r="D156" s="14"/>
      <c r="F156" s="15"/>
      <c r="G156" s="15"/>
      <c r="H156" s="15"/>
      <c r="I156" s="14"/>
      <c r="J156" s="3"/>
    </row>
    <row r="157">
      <c r="A157" s="13"/>
      <c r="B157" s="14"/>
      <c r="C157" s="14"/>
      <c r="D157" s="14"/>
      <c r="F157" s="15"/>
      <c r="G157" s="15"/>
      <c r="H157" s="15"/>
      <c r="I157" s="14"/>
      <c r="J157" s="3"/>
    </row>
    <row r="158">
      <c r="A158" s="13"/>
      <c r="B158" s="14"/>
      <c r="C158" s="14"/>
      <c r="D158" s="14"/>
      <c r="F158" s="15"/>
      <c r="G158" s="15"/>
      <c r="H158" s="15"/>
      <c r="I158" s="14"/>
      <c r="J158" s="3"/>
    </row>
    <row r="159">
      <c r="A159" s="13"/>
      <c r="B159" s="14"/>
      <c r="C159" s="14"/>
      <c r="D159" s="14"/>
      <c r="F159" s="15"/>
      <c r="G159" s="15"/>
      <c r="H159" s="15"/>
      <c r="I159" s="14"/>
      <c r="J159" s="3"/>
    </row>
    <row r="160">
      <c r="A160" s="13"/>
      <c r="B160" s="14"/>
      <c r="C160" s="14"/>
      <c r="D160" s="14"/>
      <c r="F160" s="15"/>
      <c r="G160" s="15"/>
      <c r="H160" s="15"/>
      <c r="I160" s="14"/>
      <c r="J160" s="3"/>
    </row>
    <row r="161">
      <c r="A161" s="13"/>
      <c r="B161" s="14"/>
      <c r="C161" s="14"/>
      <c r="D161" s="14"/>
      <c r="F161" s="15"/>
      <c r="G161" s="15"/>
      <c r="H161" s="15"/>
      <c r="I161" s="14"/>
      <c r="J161" s="3"/>
    </row>
    <row r="162">
      <c r="A162" s="13"/>
      <c r="B162" s="14"/>
      <c r="C162" s="14"/>
      <c r="D162" s="14"/>
      <c r="F162" s="15"/>
      <c r="G162" s="15"/>
      <c r="H162" s="15"/>
      <c r="I162" s="14"/>
      <c r="J162" s="3"/>
    </row>
    <row r="163">
      <c r="A163" s="13"/>
      <c r="B163" s="14"/>
      <c r="C163" s="14"/>
      <c r="D163" s="14"/>
      <c r="F163" s="15"/>
      <c r="G163" s="15"/>
      <c r="H163" s="15"/>
      <c r="I163" s="14"/>
      <c r="J163" s="3"/>
    </row>
    <row r="164">
      <c r="A164" s="13"/>
      <c r="B164" s="14"/>
      <c r="C164" s="14"/>
      <c r="D164" s="14"/>
      <c r="F164" s="15"/>
      <c r="G164" s="15"/>
      <c r="H164" s="15"/>
      <c r="I164" s="14"/>
      <c r="J164" s="3"/>
    </row>
    <row r="165">
      <c r="A165" s="13"/>
      <c r="B165" s="14"/>
      <c r="C165" s="14"/>
      <c r="D165" s="14"/>
      <c r="F165" s="15"/>
      <c r="G165" s="15"/>
      <c r="H165" s="15"/>
      <c r="I165" s="14"/>
      <c r="J165" s="3"/>
    </row>
    <row r="166">
      <c r="A166" s="13"/>
      <c r="B166" s="14"/>
      <c r="C166" s="14"/>
      <c r="D166" s="14"/>
      <c r="F166" s="15"/>
      <c r="G166" s="15"/>
      <c r="H166" s="15"/>
      <c r="I166" s="14"/>
      <c r="J166" s="3"/>
    </row>
    <row r="167">
      <c r="A167" s="13"/>
      <c r="B167" s="14"/>
      <c r="C167" s="14"/>
      <c r="D167" s="14"/>
      <c r="F167" s="15"/>
      <c r="G167" s="15"/>
      <c r="H167" s="15"/>
      <c r="I167" s="14"/>
      <c r="J167" s="3"/>
    </row>
    <row r="168">
      <c r="A168" s="13"/>
      <c r="B168" s="14"/>
      <c r="C168" s="14"/>
      <c r="D168" s="14"/>
      <c r="F168" s="15"/>
      <c r="G168" s="15"/>
      <c r="H168" s="15"/>
      <c r="I168" s="14"/>
      <c r="J168" s="3"/>
    </row>
    <row r="169">
      <c r="A169" s="13"/>
      <c r="B169" s="14"/>
      <c r="C169" s="14"/>
      <c r="D169" s="14"/>
      <c r="F169" s="15"/>
      <c r="G169" s="15"/>
      <c r="H169" s="15"/>
      <c r="I169" s="14"/>
      <c r="J169" s="3"/>
    </row>
    <row r="170">
      <c r="A170" s="13"/>
      <c r="B170" s="14"/>
      <c r="C170" s="14"/>
      <c r="D170" s="14"/>
      <c r="F170" s="15"/>
      <c r="G170" s="15"/>
      <c r="H170" s="15"/>
      <c r="I170" s="14"/>
      <c r="J170" s="3"/>
    </row>
    <row r="171">
      <c r="A171" s="13"/>
      <c r="B171" s="14"/>
      <c r="C171" s="14"/>
      <c r="D171" s="14"/>
      <c r="F171" s="15"/>
      <c r="G171" s="15"/>
      <c r="H171" s="15"/>
      <c r="I171" s="14"/>
      <c r="J171" s="3"/>
    </row>
    <row r="172">
      <c r="A172" s="13"/>
      <c r="B172" s="14"/>
      <c r="C172" s="14"/>
      <c r="D172" s="14"/>
      <c r="F172" s="15"/>
      <c r="G172" s="15"/>
      <c r="H172" s="15"/>
      <c r="I172" s="14"/>
      <c r="J172" s="3"/>
    </row>
    <row r="173">
      <c r="A173" s="13"/>
      <c r="B173" s="14"/>
      <c r="C173" s="14"/>
      <c r="D173" s="14"/>
      <c r="F173" s="15"/>
      <c r="G173" s="15"/>
      <c r="H173" s="15"/>
      <c r="I173" s="14"/>
      <c r="J173" s="3"/>
    </row>
    <row r="174">
      <c r="A174" s="13"/>
      <c r="B174" s="14"/>
      <c r="C174" s="14"/>
      <c r="D174" s="14"/>
      <c r="F174" s="15"/>
      <c r="G174" s="15"/>
      <c r="H174" s="15"/>
      <c r="I174" s="14"/>
      <c r="J174" s="3"/>
    </row>
    <row r="175">
      <c r="A175" s="13"/>
      <c r="B175" s="14"/>
      <c r="C175" s="14"/>
      <c r="D175" s="14"/>
      <c r="F175" s="15"/>
      <c r="G175" s="15"/>
      <c r="H175" s="15"/>
      <c r="I175" s="14"/>
      <c r="J175" s="3"/>
    </row>
    <row r="176">
      <c r="A176" s="13"/>
      <c r="B176" s="14"/>
      <c r="C176" s="14"/>
      <c r="D176" s="14"/>
      <c r="F176" s="15"/>
      <c r="G176" s="15"/>
      <c r="H176" s="15"/>
      <c r="I176" s="14"/>
      <c r="J176" s="3"/>
    </row>
    <row r="177">
      <c r="A177" s="13"/>
      <c r="B177" s="14"/>
      <c r="C177" s="14"/>
      <c r="D177" s="14"/>
      <c r="F177" s="15"/>
      <c r="G177" s="15"/>
      <c r="H177" s="15"/>
      <c r="I177" s="14"/>
      <c r="J177" s="3"/>
    </row>
    <row r="178">
      <c r="A178" s="13"/>
      <c r="B178" s="14"/>
      <c r="C178" s="14"/>
      <c r="D178" s="14"/>
      <c r="F178" s="15"/>
      <c r="G178" s="15"/>
      <c r="H178" s="15"/>
      <c r="I178" s="14"/>
      <c r="J178" s="3"/>
    </row>
    <row r="179">
      <c r="A179" s="13"/>
      <c r="B179" s="14"/>
      <c r="C179" s="14"/>
      <c r="D179" s="14"/>
      <c r="F179" s="15"/>
      <c r="G179" s="15"/>
      <c r="H179" s="15"/>
      <c r="I179" s="14"/>
      <c r="J179" s="3"/>
    </row>
    <row r="180">
      <c r="A180" s="13"/>
      <c r="B180" s="14"/>
      <c r="C180" s="14"/>
      <c r="D180" s="14"/>
      <c r="F180" s="15"/>
      <c r="G180" s="15"/>
      <c r="H180" s="15"/>
      <c r="I180" s="14"/>
      <c r="J180" s="3"/>
    </row>
    <row r="181">
      <c r="A181" s="13"/>
      <c r="B181" s="14"/>
      <c r="C181" s="14"/>
      <c r="D181" s="14"/>
      <c r="F181" s="15"/>
      <c r="G181" s="15"/>
      <c r="H181" s="15"/>
      <c r="I181" s="14"/>
      <c r="J181" s="3"/>
    </row>
    <row r="182">
      <c r="A182" s="13"/>
      <c r="B182" s="14"/>
      <c r="C182" s="14"/>
      <c r="D182" s="14"/>
      <c r="F182" s="15"/>
      <c r="G182" s="15"/>
      <c r="H182" s="15"/>
      <c r="I182" s="14"/>
      <c r="J182" s="3"/>
    </row>
    <row r="183">
      <c r="A183" s="13"/>
      <c r="B183" s="14"/>
      <c r="C183" s="14"/>
      <c r="D183" s="14"/>
      <c r="F183" s="15"/>
      <c r="G183" s="15"/>
      <c r="H183" s="15"/>
      <c r="I183" s="14"/>
      <c r="J183" s="3"/>
    </row>
    <row r="184">
      <c r="A184" s="13"/>
      <c r="B184" s="14"/>
      <c r="C184" s="14"/>
      <c r="D184" s="14"/>
      <c r="F184" s="15"/>
      <c r="G184" s="15"/>
      <c r="H184" s="15"/>
      <c r="I184" s="14"/>
      <c r="J184" s="3"/>
    </row>
    <row r="185">
      <c r="A185" s="13"/>
      <c r="B185" s="14"/>
      <c r="C185" s="14"/>
      <c r="D185" s="14"/>
      <c r="F185" s="15"/>
      <c r="G185" s="15"/>
      <c r="H185" s="15"/>
      <c r="I185" s="14"/>
      <c r="J185" s="3"/>
    </row>
    <row r="186">
      <c r="A186" s="13"/>
      <c r="B186" s="14"/>
      <c r="C186" s="14"/>
      <c r="D186" s="14"/>
      <c r="F186" s="15"/>
      <c r="G186" s="15"/>
      <c r="H186" s="15"/>
      <c r="I186" s="14"/>
      <c r="J186" s="3"/>
    </row>
    <row r="187">
      <c r="A187" s="13"/>
      <c r="B187" s="14"/>
      <c r="C187" s="14"/>
      <c r="D187" s="14"/>
      <c r="F187" s="15"/>
      <c r="G187" s="15"/>
      <c r="H187" s="15"/>
      <c r="I187" s="14"/>
      <c r="J187" s="3"/>
    </row>
    <row r="188">
      <c r="A188" s="13"/>
      <c r="B188" s="14"/>
      <c r="C188" s="14"/>
      <c r="D188" s="14"/>
      <c r="F188" s="15"/>
      <c r="G188" s="15"/>
      <c r="H188" s="15"/>
      <c r="I188" s="14"/>
      <c r="J188" s="3"/>
    </row>
    <row r="189">
      <c r="A189" s="13"/>
      <c r="B189" s="14"/>
      <c r="C189" s="14"/>
      <c r="D189" s="14"/>
      <c r="F189" s="15"/>
      <c r="G189" s="15"/>
      <c r="H189" s="15"/>
      <c r="I189" s="14"/>
      <c r="J189" s="3"/>
    </row>
    <row r="190">
      <c r="A190" s="13"/>
      <c r="B190" s="14"/>
      <c r="C190" s="14"/>
      <c r="D190" s="14"/>
      <c r="F190" s="15"/>
      <c r="G190" s="15"/>
      <c r="H190" s="15"/>
      <c r="I190" s="14"/>
      <c r="J190" s="3"/>
    </row>
    <row r="191">
      <c r="A191" s="13"/>
      <c r="B191" s="14"/>
      <c r="C191" s="14"/>
      <c r="D191" s="14"/>
      <c r="F191" s="15"/>
      <c r="G191" s="15"/>
      <c r="H191" s="15"/>
      <c r="I191" s="14"/>
      <c r="J191" s="3"/>
    </row>
    <row r="192">
      <c r="A192" s="13"/>
      <c r="B192" s="14"/>
      <c r="C192" s="14"/>
      <c r="D192" s="14"/>
      <c r="F192" s="15"/>
      <c r="G192" s="15"/>
      <c r="H192" s="15"/>
      <c r="I192" s="14"/>
      <c r="J192" s="3"/>
    </row>
    <row r="193">
      <c r="A193" s="13"/>
      <c r="B193" s="14"/>
      <c r="C193" s="14"/>
      <c r="D193" s="14"/>
      <c r="F193" s="15"/>
      <c r="G193" s="15"/>
      <c r="H193" s="15"/>
      <c r="I193" s="14"/>
      <c r="J193" s="3"/>
    </row>
    <row r="194">
      <c r="A194" s="13"/>
      <c r="B194" s="14"/>
      <c r="C194" s="14"/>
      <c r="D194" s="14"/>
      <c r="F194" s="15"/>
      <c r="G194" s="15"/>
      <c r="H194" s="15"/>
      <c r="I194" s="14"/>
      <c r="J194" s="3"/>
    </row>
    <row r="195">
      <c r="A195" s="13"/>
      <c r="B195" s="14"/>
      <c r="C195" s="14"/>
      <c r="D195" s="14"/>
      <c r="F195" s="15"/>
      <c r="G195" s="15"/>
      <c r="H195" s="15"/>
      <c r="I195" s="14"/>
      <c r="J195" s="3"/>
    </row>
    <row r="196">
      <c r="A196" s="13"/>
      <c r="B196" s="14"/>
      <c r="C196" s="14"/>
      <c r="D196" s="14"/>
      <c r="F196" s="15"/>
      <c r="G196" s="15"/>
      <c r="H196" s="15"/>
      <c r="I196" s="14"/>
      <c r="J196" s="3"/>
    </row>
    <row r="197">
      <c r="A197" s="13"/>
      <c r="B197" s="14"/>
      <c r="C197" s="14"/>
      <c r="D197" s="14"/>
      <c r="F197" s="15"/>
      <c r="G197" s="15"/>
      <c r="H197" s="15"/>
      <c r="I197" s="14"/>
      <c r="J197" s="3"/>
    </row>
    <row r="198">
      <c r="A198" s="13"/>
      <c r="B198" s="14"/>
      <c r="C198" s="14"/>
      <c r="D198" s="14"/>
      <c r="F198" s="15"/>
      <c r="G198" s="15"/>
      <c r="H198" s="15"/>
      <c r="I198" s="14"/>
      <c r="J198" s="3"/>
    </row>
    <row r="199">
      <c r="A199" s="13"/>
      <c r="B199" s="14"/>
      <c r="C199" s="14"/>
      <c r="D199" s="14"/>
      <c r="F199" s="15"/>
      <c r="G199" s="15"/>
      <c r="H199" s="15"/>
      <c r="I199" s="14"/>
      <c r="J199" s="3"/>
    </row>
    <row r="200">
      <c r="A200" s="13"/>
      <c r="B200" s="14"/>
      <c r="C200" s="14"/>
      <c r="D200" s="14"/>
      <c r="F200" s="15"/>
      <c r="G200" s="15"/>
      <c r="H200" s="15"/>
      <c r="I200" s="14"/>
      <c r="J200" s="3"/>
    </row>
    <row r="201">
      <c r="A201" s="13"/>
      <c r="B201" s="14"/>
      <c r="C201" s="14"/>
      <c r="D201" s="14"/>
      <c r="F201" s="15"/>
      <c r="G201" s="15"/>
      <c r="H201" s="15"/>
      <c r="I201" s="14"/>
      <c r="J201" s="3"/>
    </row>
    <row r="202">
      <c r="A202" s="13"/>
      <c r="B202" s="14"/>
      <c r="C202" s="14"/>
      <c r="D202" s="14"/>
      <c r="F202" s="15"/>
      <c r="G202" s="15"/>
      <c r="H202" s="15"/>
      <c r="I202" s="14"/>
      <c r="J202" s="3"/>
    </row>
    <row r="203">
      <c r="A203" s="13"/>
      <c r="B203" s="14"/>
      <c r="C203" s="14"/>
      <c r="D203" s="14"/>
      <c r="F203" s="15"/>
      <c r="G203" s="15"/>
      <c r="H203" s="15"/>
      <c r="I203" s="14"/>
      <c r="J203" s="3"/>
    </row>
  </sheetData>
  <mergeCells count="1">
    <mergeCell ref="A1:J1"/>
  </mergeCells>
  <pageMargins left="0.69999999999999996" right="0.69999999999999996" top="0.75" bottom="0.75" header="0.29999999999999999" footer="0.29999999999999999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cols>
    <col customWidth="1" hidden="0" min="1" max="1" width="22"/>
    <col customWidth="1" hidden="0" min="2" max="2" width="72"/>
  </cols>
  <sheetData>
    <row r="1" ht="28" customHeight="1">
      <c r="A1" s="33" t="inlineStr">
        <v xml:space="preserve">How to Use This Workbook</v>
      </c>
      <c r="B1" s="33"/>
      <c r="C1" s="1"/>
      <c r="D1" s="1"/>
      <c r="E1" s="1"/>
      <c r="F1" s="1"/>
    </row>
    <row r="3">
      <c r="A3" s="35" t="inlineStr">
        <v>Sheet</v>
      </c>
      <c r="B3" s="35" t="inlineStr">
        <v>Purpose</v>
      </c>
    </row>
    <row r="4">
      <c r="A4" s="21" t="inlineStr">
        <v xml:space="preserve">Weekly Plan</v>
      </c>
      <c r="B4" s="21" t="inlineStr">
        <v xml:space="preserve">Check the current weekly schedule and exercise targets.</v>
      </c>
    </row>
    <row r="5">
      <c r="A5" s="21" t="inlineStr">
        <v xml:space="preserve">Training Log</v>
      </c>
      <c r="B5" s="21" t="inlineStr">
        <v xml:space="preserve">Enter one row per set. Program Week and Set Volume calculate automatically.</v>
      </c>
    </row>
    <row r="6">
      <c r="A6" s="21" t="inlineStr">
        <v xml:space="preserve">Body Progress</v>
      </c>
      <c r="B6" s="21" t="inlineStr">
        <v xml:space="preserve">Log body weight, waist, steps, food, protein, and sleep.</v>
      </c>
    </row>
    <row r="7">
      <c r="A7" s="21" t="inlineStr">
        <v>Settings</v>
      </c>
      <c r="B7" s="21" t="inlineStr">
        <v xml:space="preserve">Change the program start date and targets in one place.</v>
      </c>
    </row>
    <row r="8">
      <c r="A8" s="21" t="inlineStr">
        <v>Duration</v>
      </c>
      <c r="B8" s="21" t="inlineStr">
        <v xml:space="preserve">Enter durations as hh:mm:ss, for example 00:11:36.</v>
      </c>
    </row>
    <row r="9">
      <c r="A9" s="21" t="inlineStr">
        <v xml:space="preserve">Blank fields</v>
      </c>
      <c r="B9" s="21" t="inlineStr">
        <v xml:space="preserve">Leave irrelevant fields blank; do not type dashes or zeroes.</v>
      </c>
    </row>
  </sheetData>
  <mergeCells count="2">
    <mergeCell ref="A1:F1"/>
    <mergeCell ref="A1:B1"/>
  </mergeCells>
  <pageMargins left="0.69999999999999996" right="0.69999999999999996" top="0.75" bottom="0.75" header="0.29999999999999999" footer="0.2999999999999999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5"/>
  <cols>
    <col customWidth="1" hidden="0" min="1" max="1" width="28"/>
    <col customWidth="1" hidden="0" min="2" max="2" width="24"/>
  </cols>
  <sheetData>
    <row r="1" ht="28" customHeight="1">
      <c r="A1" s="37" t="inlineStr">
        <v xml:space="preserve">Program Settings</v>
      </c>
      <c r="B1" s="37"/>
    </row>
    <row r="3">
      <c r="A3" s="39" t="inlineStr">
        <v xml:space="preserve">Program Name</v>
      </c>
      <c r="B3" t="inlineStr">
        <v xml:space="preserve">Lean Hybrid Athlete v1</v>
      </c>
    </row>
    <row r="4">
      <c r="A4" s="39" t="inlineStr">
        <v xml:space="preserve">Program Start Date</v>
      </c>
      <c r="B4" s="27">
        <v>46217</v>
      </c>
    </row>
    <row r="5">
      <c r="A5" s="39" t="inlineStr">
        <v xml:space="preserve">Target Body Weight (kg)</v>
      </c>
      <c r="B5">
        <v>56</v>
      </c>
    </row>
    <row r="6">
      <c r="A6" s="39" t="inlineStr">
        <v xml:space="preserve">Target Body Fat</v>
      </c>
      <c r="B6" s="40">
        <v>0.12</v>
      </c>
    </row>
    <row r="7">
      <c r="A7" s="39" t="inlineStr">
        <v xml:space="preserve">Protein Target (g)</v>
      </c>
      <c r="B7">
        <v>120</v>
      </c>
    </row>
    <row r="8">
      <c r="A8" s="39" t="inlineStr">
        <v xml:space="preserve">Daily Step Target</v>
      </c>
      <c r="B8">
        <v>10000</v>
      </c>
    </row>
  </sheetData>
  <mergeCells count="1">
    <mergeCell ref="A1:B1"/>
  </mergeCells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